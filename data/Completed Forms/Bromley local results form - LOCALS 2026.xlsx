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Beckenham T..." sheetId="1" state="visible" r:id="rId3"/>
    <sheet name="Bickley &amp; S..." sheetId="2" state="visible" r:id="rId4"/>
    <sheet name="Biggin Hill" sheetId="3" state="visible" r:id="rId5"/>
    <sheet name="Bromley Com..." sheetId="4" state="visible" r:id="rId6"/>
    <sheet name="Bromley Town" sheetId="5" state="visible" r:id="rId7"/>
    <sheet name="Chelsfield" sheetId="6" state="visible" r:id="rId8"/>
    <sheet name="Chislehurst" sheetId="7" state="visible" r:id="rId9"/>
    <sheet name="Clock House" sheetId="8" state="visible" r:id="rId10"/>
    <sheet name="Crystal Pal..." sheetId="9" state="visible" r:id="rId11"/>
    <sheet name="Darwin" sheetId="10" state="visible" r:id="rId12"/>
    <sheet name="Farnborough..." sheetId="11" state="visible" r:id="rId13"/>
    <sheet name="Hayes &amp; Con..." sheetId="12" state="visible" r:id="rId14"/>
    <sheet name="Kelsey &amp; Ed..." sheetId="13" state="visible" r:id="rId15"/>
    <sheet name="Mottingham" sheetId="14" state="visible" r:id="rId16"/>
    <sheet name="Orpington" sheetId="15" state="visible" r:id="rId17"/>
    <sheet name="Penge &amp; Cator" sheetId="16" state="visible" r:id="rId18"/>
    <sheet name="Petts Wood ..." sheetId="17" state="visible" r:id="rId19"/>
    <sheet name="Plaistow" sheetId="18" state="visible" r:id="rId20"/>
    <sheet name="Shortlands ..." sheetId="19" state="visible" r:id="rId21"/>
    <sheet name="St Mary Cray" sheetId="20" state="visible" r:id="rId22"/>
    <sheet name="St Paul's Cray" sheetId="21" state="visible" r:id="rId23"/>
    <sheet name="West Wickham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<sst xmlns="http://schemas.openxmlformats.org/spreadsheetml/2006/main" count="2061" uniqueCount="875">
  <si>
    <t xml:space="preserve">Report of Election for the Greater London Authority</t>
  </si>
  <si>
    <t xml:space="preserve">Please fill in the form as completely as possible before returning to joe.heywood@london.gov.uk</t>
  </si>
  <si>
    <t xml:space="preserve">Bromley</t>
  </si>
  <si>
    <t xml:space="preserve">Date of election</t>
  </si>
  <si>
    <t xml:space="preserve">7 May 2026</t>
  </si>
  <si>
    <t xml:space="preserve">Ward</t>
  </si>
  <si>
    <t xml:space="preserve">Beckenham Town &amp; Copers Cope</t>
  </si>
  <si>
    <t xml:space="preserve">00ABFX</t>
  </si>
  <si>
    <t xml:space="preserve">Number of Councillors to be elected</t>
  </si>
  <si>
    <t xml:space="preserve">3</t>
  </si>
  <si>
    <t xml:space="preserve">Number of local government electors entitled to vote in this election</t>
  </si>
  <si>
    <t xml:space="preserve">Number of valid ballot papers</t>
  </si>
  <si>
    <t xml:space="preserve">Ballot papers from polling stations</t>
  </si>
  <si>
    <t xml:space="preserve">Ballot papers from postal votes</t>
  </si>
  <si>
    <t xml:space="preserve">Turnout</t>
  </si>
  <si>
    <t xml:space="preserve">Total number of rejected ballot papers</t>
  </si>
  <si>
    <t xml:space="preserve">a  Want of official mark.</t>
  </si>
  <si>
    <t xml:space="preserve">b  Voting for more candidates than voter is entitled.</t>
  </si>
  <si>
    <t xml:space="preserve">c  Writing or mark by which the voter could be identified.</t>
  </si>
  <si>
    <t xml:space="preserve">d  Unmarked or wholly void for uncertainty.</t>
  </si>
  <si>
    <t xml:space="preserve">Number rejected in part</t>
  </si>
  <si>
    <t xml:space="preserve">Result of the election</t>
  </si>
  <si>
    <t xml:space="preserve">Candidate surname</t>
  </si>
  <si>
    <t xml:space="preserve">First name</t>
  </si>
  <si>
    <t xml:space="preserve">Whether Female (if known)</t>
  </si>
  <si>
    <t xml:space="preserve">Party</t>
  </si>
  <si>
    <t xml:space="preserve">Votes recorded</t>
  </si>
  <si>
    <t xml:space="preserve">If candidate was elected, mark with an 'X'</t>
  </si>
  <si>
    <t xml:space="preserve">Ayshford</t>
  </si>
  <si>
    <t xml:space="preserve">Stephen Mark</t>
  </si>
  <si>
    <t xml:space="preserve">Local Conservatives</t>
  </si>
  <si>
    <t xml:space="preserve">Beecroft [Bapat]</t>
  </si>
  <si>
    <t xml:space="preserve">Gita Kanchan [Gita Kanchan]</t>
  </si>
  <si>
    <t xml:space="preserve">F</t>
  </si>
  <si>
    <t xml:space="preserve">Liberal Democrats</t>
  </si>
  <si>
    <t xml:space="preserve">X</t>
  </si>
  <si>
    <t xml:space="preserve">Blewer</t>
  </si>
  <si>
    <t xml:space="preserve">Anna-Marie Clare</t>
  </si>
  <si>
    <t xml:space="preserve">Labour Party</t>
  </si>
  <si>
    <t xml:space="preserve">Brown [Brown]</t>
  </si>
  <si>
    <t xml:space="preserve">Michael Arild [Mike]</t>
  </si>
  <si>
    <t xml:space="preserve">Crisp</t>
  </si>
  <si>
    <t xml:space="preserve">Sebastian James</t>
  </si>
  <si>
    <t xml:space="preserve">Fabricant</t>
  </si>
  <si>
    <t xml:space="preserve">Ruth</t>
  </si>
  <si>
    <t xml:space="preserve">Green Party</t>
  </si>
  <si>
    <t xml:space="preserve">Jefferies</t>
  </si>
  <si>
    <t xml:space="preserve">Steven Alexander</t>
  </si>
  <si>
    <t xml:space="preserve">Newman [Newman]</t>
  </si>
  <si>
    <t xml:space="preserve">John Geoffrey [Geoff]</t>
  </si>
  <si>
    <t xml:space="preserve">Olliffe</t>
  </si>
  <si>
    <t xml:space="preserve">Patrick Joseph</t>
  </si>
  <si>
    <t xml:space="preserve">Phillippo</t>
  </si>
  <si>
    <t xml:space="preserve">Mark William</t>
  </si>
  <si>
    <t xml:space="preserve">Ross</t>
  </si>
  <si>
    <t xml:space="preserve">Chloe-Jane</t>
  </si>
  <si>
    <t xml:space="preserve">Tickner</t>
  </si>
  <si>
    <t xml:space="preserve">Michael John</t>
  </si>
  <si>
    <t xml:space="preserve">Walker [Walker]</t>
  </si>
  <si>
    <t xml:space="preserve">Stephen [Steve]</t>
  </si>
  <si>
    <t xml:space="preserve">Reform UK</t>
  </si>
  <si>
    <t xml:space="preserve">Whelan</t>
  </si>
  <si>
    <t xml:space="preserve">Melody Anne</t>
  </si>
  <si>
    <t xml:space="preserve">Wibberley [Wibberley]</t>
  </si>
  <si>
    <t xml:space="preserve">David Stuart [Dave]</t>
  </si>
  <si>
    <t xml:space="preserve">00ABFX16</t>
  </si>
  <si>
    <t xml:space="preserve">00ABFX17</t>
  </si>
  <si>
    <t xml:space="preserve">00ABFX18</t>
  </si>
  <si>
    <t xml:space="preserve">00ABFX19</t>
  </si>
  <si>
    <t xml:space="preserve">00ABFX20</t>
  </si>
  <si>
    <t xml:space="preserve">00ABFX21</t>
  </si>
  <si>
    <t xml:space="preserve">Bickley &amp; Sundridge</t>
  </si>
  <si>
    <t xml:space="preserve">Brock</t>
  </si>
  <si>
    <t xml:space="preserve">Mark</t>
  </si>
  <si>
    <t xml:space="preserve">3,666</t>
  </si>
  <si>
    <t xml:space="preserve">Broderick</t>
  </si>
  <si>
    <t xml:space="preserve">Cecilia Mary</t>
  </si>
  <si>
    <t xml:space="preserve">1,041</t>
  </si>
  <si>
    <t xml:space="preserve">Cliff</t>
  </si>
  <si>
    <t xml:space="preserve">Robert Paul</t>
  </si>
  <si>
    <t xml:space="preserve">653</t>
  </si>
  <si>
    <t xml:space="preserve">Cooper</t>
  </si>
  <si>
    <t xml:space="preserve">Martin</t>
  </si>
  <si>
    <t xml:space="preserve">680</t>
  </si>
  <si>
    <t xml:space="preserve">Dixson</t>
  </si>
  <si>
    <t xml:space="preserve">Gary Thomas</t>
  </si>
  <si>
    <t xml:space="preserve">695</t>
  </si>
  <si>
    <t xml:space="preserve">Ellery</t>
  </si>
  <si>
    <t xml:space="preserve">Michael</t>
  </si>
  <si>
    <t xml:space="preserve">1,210</t>
  </si>
  <si>
    <t xml:space="preserve">Evans [Evans]</t>
  </si>
  <si>
    <t xml:space="preserve">John Robert [John]</t>
  </si>
  <si>
    <t xml:space="preserve">1,160</t>
  </si>
  <si>
    <t xml:space="preserve">Evans</t>
  </si>
  <si>
    <t xml:space="preserve">Robert Neil</t>
  </si>
  <si>
    <t xml:space="preserve">662</t>
  </si>
  <si>
    <t xml:space="preserve">Lawrence [Lawrence]</t>
  </si>
  <si>
    <t xml:space="preserve">Adrian Graham [Adrian]</t>
  </si>
  <si>
    <t xml:space="preserve">1,103</t>
  </si>
  <si>
    <t xml:space="preserve">Lymer [Lymer]</t>
  </si>
  <si>
    <t xml:space="preserve">Katherine Louise [Kate]</t>
  </si>
  <si>
    <t xml:space="preserve">3,564</t>
  </si>
  <si>
    <t xml:space="preserve">Mulvihill</t>
  </si>
  <si>
    <t xml:space="preserve">Charles William</t>
  </si>
  <si>
    <t xml:space="preserve">806</t>
  </si>
  <si>
    <t xml:space="preserve">Sewell</t>
  </si>
  <si>
    <t xml:space="preserve">Kyle Harley James</t>
  </si>
  <si>
    <t xml:space="preserve">625</t>
  </si>
  <si>
    <t xml:space="preserve">Smith</t>
  </si>
  <si>
    <t xml:space="preserve">Colin Paul</t>
  </si>
  <si>
    <t xml:space="preserve">3,474</t>
  </si>
  <si>
    <t xml:space="preserve">Tyurenkov [Tyurenkov]</t>
  </si>
  <si>
    <t xml:space="preserve">Denis [Denis]</t>
  </si>
  <si>
    <t xml:space="preserve">688</t>
  </si>
  <si>
    <t xml:space="preserve">Webber [Webber]</t>
  </si>
  <si>
    <t xml:space="preserve">Jonathan Edward [Jon]</t>
  </si>
  <si>
    <t xml:space="preserve">538</t>
  </si>
  <si>
    <t xml:space="preserve">Biggin Hill</t>
  </si>
  <si>
    <t xml:space="preserve">2</t>
  </si>
  <si>
    <t xml:space="preserve">Allen [Allen]</t>
  </si>
  <si>
    <t xml:space="preserve">Geoffrey [Geoff]</t>
  </si>
  <si>
    <t xml:space="preserve">327</t>
  </si>
  <si>
    <t xml:space="preserve">Allitt [Allitt]</t>
  </si>
  <si>
    <t xml:space="preserve">Timothy Frank [Tim]</t>
  </si>
  <si>
    <t xml:space="preserve">2,119</t>
  </si>
  <si>
    <t xml:space="preserve">Cranenburgh [Cranenburgh]</t>
  </si>
  <si>
    <t xml:space="preserve">Stephen Lloyd [Steve]</t>
  </si>
  <si>
    <t xml:space="preserve">230</t>
  </si>
  <si>
    <t xml:space="preserve">Dunbar</t>
  </si>
  <si>
    <t xml:space="preserve">Sophie Alexandra</t>
  </si>
  <si>
    <t xml:space="preserve">1,766</t>
  </si>
  <si>
    <t xml:space="preserve">George</t>
  </si>
  <si>
    <t xml:space="preserve">Aji Kunjachan</t>
  </si>
  <si>
    <t xml:space="preserve">178</t>
  </si>
  <si>
    <t xml:space="preserve">Gostt [Gostt]</t>
  </si>
  <si>
    <t xml:space="preserve">Geoffrey Colin [Geoff]</t>
  </si>
  <si>
    <t xml:space="preserve">299</t>
  </si>
  <si>
    <t xml:space="preserve">Hamilton</t>
  </si>
  <si>
    <t xml:space="preserve">Laurence Christian Dominic</t>
  </si>
  <si>
    <t xml:space="preserve">270</t>
  </si>
  <si>
    <t xml:space="preserve">Hatch [Hatch]</t>
  </si>
  <si>
    <t xml:space="preserve">Philip Michael Edward [Philip]</t>
  </si>
  <si>
    <t xml:space="preserve">1,440</t>
  </si>
  <si>
    <t xml:space="preserve">James [James]</t>
  </si>
  <si>
    <t xml:space="preserve">Stephen John [Steve]</t>
  </si>
  <si>
    <t xml:space="preserve">2,122</t>
  </si>
  <si>
    <t xml:space="preserve">Westbrook</t>
  </si>
  <si>
    <t xml:space="preserve">Malcolm Bruce</t>
  </si>
  <si>
    <t xml:space="preserve">206</t>
  </si>
  <si>
    <t xml:space="preserve">00ABFX11</t>
  </si>
  <si>
    <t xml:space="preserve">00ABFX12</t>
  </si>
  <si>
    <t xml:space="preserve">00ABFX13</t>
  </si>
  <si>
    <t xml:space="preserve">00ABFX14</t>
  </si>
  <si>
    <t xml:space="preserve">00ABFX15</t>
  </si>
  <si>
    <t xml:space="preserve">Bromley Common &amp; Holwood</t>
  </si>
  <si>
    <t xml:space="preserve">Broadhurst</t>
  </si>
  <si>
    <t xml:space="preserve">Clive Anthony</t>
  </si>
  <si>
    <t xml:space="preserve">544</t>
  </si>
  <si>
    <t xml:space="preserve">Carter</t>
  </si>
  <si>
    <t xml:space="preserve">Alan</t>
  </si>
  <si>
    <t xml:space="preserve">553</t>
  </si>
  <si>
    <t xml:space="preserve">Cook [Cook]</t>
  </si>
  <si>
    <t xml:space="preserve">Terence Alan [Alan]</t>
  </si>
  <si>
    <t xml:space="preserve">1,946</t>
  </si>
  <si>
    <t xml:space="preserve">Gabbert</t>
  </si>
  <si>
    <t xml:space="preserve">Kira</t>
  </si>
  <si>
    <t xml:space="preserve">1,824</t>
  </si>
  <si>
    <t xml:space="preserve">Goddard-Glen</t>
  </si>
  <si>
    <t xml:space="preserve">Louis Arthur Reginald</t>
  </si>
  <si>
    <t xml:space="preserve">927</t>
  </si>
  <si>
    <t xml:space="preserve">Gupta</t>
  </si>
  <si>
    <t xml:space="preserve">Sunil</t>
  </si>
  <si>
    <t xml:space="preserve">2,514</t>
  </si>
  <si>
    <t xml:space="preserve">Innes</t>
  </si>
  <si>
    <t xml:space="preserve">Simon Alexander</t>
  </si>
  <si>
    <t xml:space="preserve">2,391</t>
  </si>
  <si>
    <t xml:space="preserve">Ker [Ker]</t>
  </si>
  <si>
    <t xml:space="preserve">Geraldine Morgan Louise [Geraldine]</t>
  </si>
  <si>
    <t xml:space="preserve">950</t>
  </si>
  <si>
    <t xml:space="preserve">Moses</t>
  </si>
  <si>
    <t xml:space="preserve">Shona Anne</t>
  </si>
  <si>
    <t xml:space="preserve">755</t>
  </si>
  <si>
    <t xml:space="preserve">Payne</t>
  </si>
  <si>
    <t xml:space="preserve">Ian Frederick</t>
  </si>
  <si>
    <t xml:space="preserve">2,522</t>
  </si>
  <si>
    <t xml:space="preserve">Searle</t>
  </si>
  <si>
    <t xml:space="preserve">Clare Louise</t>
  </si>
  <si>
    <t xml:space="preserve">984</t>
  </si>
  <si>
    <t xml:space="preserve">Simms</t>
  </si>
  <si>
    <t xml:space="preserve">Michael Anthony</t>
  </si>
  <si>
    <t xml:space="preserve">692</t>
  </si>
  <si>
    <t xml:space="preserve">Stokes [Stokes]</t>
  </si>
  <si>
    <t xml:space="preserve">Alfie Joseph [Alfie]</t>
  </si>
  <si>
    <t xml:space="preserve">1,747</t>
  </si>
  <si>
    <t xml:space="preserve">Viner</t>
  </si>
  <si>
    <t xml:space="preserve">Andrew John</t>
  </si>
  <si>
    <t xml:space="preserve">430</t>
  </si>
  <si>
    <t xml:space="preserve">Zubair</t>
  </si>
  <si>
    <t xml:space="preserve">Sobia</t>
  </si>
  <si>
    <t xml:space="preserve">629</t>
  </si>
  <si>
    <t xml:space="preserve">Bromley Town</t>
  </si>
  <si>
    <t xml:space="preserve">Awobayiku</t>
  </si>
  <si>
    <t xml:space="preserve">Larry Bayode</t>
  </si>
  <si>
    <t xml:space="preserve">479</t>
  </si>
  <si>
    <t xml:space="preserve">Bardsley [Bardsley]</t>
  </si>
  <si>
    <t xml:space="preserve">Marie Elizabeth [Marie]</t>
  </si>
  <si>
    <t xml:space="preserve">566</t>
  </si>
  <si>
    <t xml:space="preserve">Billington</t>
  </si>
  <si>
    <t xml:space="preserve">Rose-Marie</t>
  </si>
  <si>
    <t xml:space="preserve">878</t>
  </si>
  <si>
    <t xml:space="preserve">Bilmanis</t>
  </si>
  <si>
    <t xml:space="preserve">Arturs</t>
  </si>
  <si>
    <t xml:space="preserve">676</t>
  </si>
  <si>
    <t xml:space="preserve">Cameron</t>
  </si>
  <si>
    <t xml:space="preserve">Oliver Luc</t>
  </si>
  <si>
    <t xml:space="preserve">1,402</t>
  </si>
  <si>
    <t xml:space="preserve">Casey</t>
  </si>
  <si>
    <t xml:space="preserve">Graeme Lee</t>
  </si>
  <si>
    <t xml:space="preserve">1,873</t>
  </si>
  <si>
    <t xml:space="preserve">Clements [Clements]</t>
  </si>
  <si>
    <t xml:space="preserve">Colin Edwards [Colin]</t>
  </si>
  <si>
    <t xml:space="preserve">773</t>
  </si>
  <si>
    <t xml:space="preserve">Collins [Collins]</t>
  </si>
  <si>
    <t xml:space="preserve">Joshua Brandon [Joshua]</t>
  </si>
  <si>
    <t xml:space="preserve">738</t>
  </si>
  <si>
    <t xml:space="preserve">Denyer [Denyer]</t>
  </si>
  <si>
    <t xml:space="preserve">Carol Ann [Carol]</t>
  </si>
  <si>
    <t xml:space="preserve">Better Bromley</t>
  </si>
  <si>
    <t xml:space="preserve">328</t>
  </si>
  <si>
    <t xml:space="preserve">English-Sayers</t>
  </si>
  <si>
    <t xml:space="preserve">Max Peter</t>
  </si>
  <si>
    <t xml:space="preserve">1,297</t>
  </si>
  <si>
    <t xml:space="preserve">Ibukun [Ibukun]</t>
  </si>
  <si>
    <t xml:space="preserve">Caroline Temidayo [Caroline]</t>
  </si>
  <si>
    <t xml:space="preserve">152</t>
  </si>
  <si>
    <t xml:space="preserve">Ireland</t>
  </si>
  <si>
    <t xml:space="preserve">Julie Mary</t>
  </si>
  <si>
    <t xml:space="preserve">1,943</t>
  </si>
  <si>
    <t xml:space="preserve">Lee</t>
  </si>
  <si>
    <t xml:space="preserve">Tristan Francis</t>
  </si>
  <si>
    <t xml:space="preserve">1,253</t>
  </si>
  <si>
    <t xml:space="preserve">Senior</t>
  </si>
  <si>
    <t xml:space="preserve">Charmain</t>
  </si>
  <si>
    <t xml:space="preserve">684</t>
  </si>
  <si>
    <t xml:space="preserve">Thiagarajan [Thiagarajan]</t>
  </si>
  <si>
    <t xml:space="preserve">Sumathy [Sum]</t>
  </si>
  <si>
    <t xml:space="preserve">131</t>
  </si>
  <si>
    <t xml:space="preserve">Webber</t>
  </si>
  <si>
    <t xml:space="preserve">Sam Dunning</t>
  </si>
  <si>
    <t xml:space="preserve">1,752</t>
  </si>
  <si>
    <t xml:space="preserve">Wittekind</t>
  </si>
  <si>
    <t xml:space="preserve">Owen Andrew</t>
  </si>
  <si>
    <t xml:space="preserve">362</t>
  </si>
  <si>
    <t xml:space="preserve">Chelsfield</t>
  </si>
  <si>
    <t xml:space="preserve">Botting [Botting]</t>
  </si>
  <si>
    <t xml:space="preserve">Michael Frank [Mike]</t>
  </si>
  <si>
    <t xml:space="preserve">2,507</t>
  </si>
  <si>
    <t xml:space="preserve">Clements</t>
  </si>
  <si>
    <t xml:space="preserve">Steven Charles</t>
  </si>
  <si>
    <t xml:space="preserve">1,121</t>
  </si>
  <si>
    <t xml:space="preserve">Grainger</t>
  </si>
  <si>
    <t xml:space="preserve">Julian Patrick Greville</t>
  </si>
  <si>
    <t xml:space="preserve">1,195</t>
  </si>
  <si>
    <t xml:space="preserve">Jalan</t>
  </si>
  <si>
    <t xml:space="preserve">Sumeet</t>
  </si>
  <si>
    <t xml:space="preserve">2,184</t>
  </si>
  <si>
    <t xml:space="preserve">Krishnaswamy Varadharajan [Krishna]</t>
  </si>
  <si>
    <t xml:space="preserve">Senthil Kumar [Senthil]</t>
  </si>
  <si>
    <t xml:space="preserve">409</t>
  </si>
  <si>
    <t xml:space="preserve">Kudumallige Puttaswamy [Puttaswamy]</t>
  </si>
  <si>
    <t xml:space="preserve">Harsha [Harsha]</t>
  </si>
  <si>
    <t xml:space="preserve">1,303</t>
  </si>
  <si>
    <t xml:space="preserve">Sellwood</t>
  </si>
  <si>
    <t xml:space="preserve">Lynn Ann</t>
  </si>
  <si>
    <t xml:space="preserve">246</t>
  </si>
  <si>
    <t xml:space="preserve">Tozer</t>
  </si>
  <si>
    <t xml:space="preserve">Peter John</t>
  </si>
  <si>
    <t xml:space="preserve">172</t>
  </si>
  <si>
    <t xml:space="preserve">Watchorn</t>
  </si>
  <si>
    <t xml:space="preserve">Joseph John</t>
  </si>
  <si>
    <t xml:space="preserve">1,050</t>
  </si>
  <si>
    <t xml:space="preserve">00ABFX10</t>
  </si>
  <si>
    <t xml:space="preserve">Chislehurst</t>
  </si>
  <si>
    <t xml:space="preserve">Blake [Blake]</t>
  </si>
  <si>
    <t xml:space="preserve">Samuel Simon Megades [Sam]</t>
  </si>
  <si>
    <t xml:space="preserve">340</t>
  </si>
  <si>
    <t xml:space="preserve">Bollon</t>
  </si>
  <si>
    <t xml:space="preserve">Katharine Louise</t>
  </si>
  <si>
    <t xml:space="preserve">231</t>
  </si>
  <si>
    <t xml:space="preserve">Choudhury [Choudhury]</t>
  </si>
  <si>
    <t xml:space="preserve">Kamil Ahmed [Kamil]</t>
  </si>
  <si>
    <t xml:space="preserve">778</t>
  </si>
  <si>
    <t xml:space="preserve">Heal</t>
  </si>
  <si>
    <t xml:space="preserve">Julian</t>
  </si>
  <si>
    <t xml:space="preserve">323</t>
  </si>
  <si>
    <t xml:space="preserve">Hutty [Hutty]</t>
  </si>
  <si>
    <t xml:space="preserve">Malcolm Samuel Agar [Malcolm]</t>
  </si>
  <si>
    <t xml:space="preserve">1,026</t>
  </si>
  <si>
    <t xml:space="preserve">Jack [Jack]</t>
  </si>
  <si>
    <t xml:space="preserve">Michael William [Mike]</t>
  </si>
  <si>
    <t xml:space="preserve">Chislehurst Matters</t>
  </si>
  <si>
    <t xml:space="preserve">3,516</t>
  </si>
  <si>
    <t xml:space="preserve">Andrew Harry [Andrew]</t>
  </si>
  <si>
    <t xml:space="preserve">1,010</t>
  </si>
  <si>
    <t xml:space="preserve">Mansell</t>
  </si>
  <si>
    <t xml:space="preserve">Peter Hennah</t>
  </si>
  <si>
    <t xml:space="preserve">150</t>
  </si>
  <si>
    <t xml:space="preserve">McCracken</t>
  </si>
  <si>
    <t xml:space="preserve">Laura Christine</t>
  </si>
  <si>
    <t xml:space="preserve">197</t>
  </si>
  <si>
    <t xml:space="preserve">Mole</t>
  </si>
  <si>
    <t xml:space="preserve">Christian Russell</t>
  </si>
  <si>
    <t xml:space="preserve">339</t>
  </si>
  <si>
    <t xml:space="preserve">Mark Jeffrey</t>
  </si>
  <si>
    <t xml:space="preserve">3,528</t>
  </si>
  <si>
    <t xml:space="preserve">Stammers</t>
  </si>
  <si>
    <t xml:space="preserve">Alison Margaret</t>
  </si>
  <si>
    <t xml:space="preserve">3,652</t>
  </si>
  <si>
    <t xml:space="preserve">Terry [Terry]</t>
  </si>
  <si>
    <t xml:space="preserve">Kieran Stephen Cunningham [Kieran]</t>
  </si>
  <si>
    <t xml:space="preserve">828</t>
  </si>
  <si>
    <t xml:space="preserve">Thomas [Thomas]</t>
  </si>
  <si>
    <t xml:space="preserve">Alfred Joseph [Alfie]</t>
  </si>
  <si>
    <t xml:space="preserve">765</t>
  </si>
  <si>
    <t xml:space="preserve">Wade [Wade]</t>
  </si>
  <si>
    <t xml:space="preserve">Philip John [Phil]</t>
  </si>
  <si>
    <t xml:space="preserve">909</t>
  </si>
  <si>
    <t xml:space="preserve">Clock House</t>
  </si>
  <si>
    <t xml:space="preserve">Adams [Adams]</t>
  </si>
  <si>
    <t xml:space="preserve">Jeremy Richard [Jeremy]</t>
  </si>
  <si>
    <t xml:space="preserve">3,105</t>
  </si>
  <si>
    <t xml:space="preserve">James Alan</t>
  </si>
  <si>
    <t xml:space="preserve">1,320</t>
  </si>
  <si>
    <t xml:space="preserve">Coleman [Coleman]</t>
  </si>
  <si>
    <t xml:space="preserve">Jennifer Anne [Jenny]</t>
  </si>
  <si>
    <t xml:space="preserve">3,087</t>
  </si>
  <si>
    <t xml:space="preserve">Gambarotta [Gambarotta]</t>
  </si>
  <si>
    <t xml:space="preserve">Claudio Attilio [Claudio]</t>
  </si>
  <si>
    <t xml:space="preserve">503</t>
  </si>
  <si>
    <t xml:space="preserve">Keogh</t>
  </si>
  <si>
    <t xml:space="preserve">Aidan Lucas</t>
  </si>
  <si>
    <t xml:space="preserve">1,290</t>
  </si>
  <si>
    <t xml:space="preserve">King [King]</t>
  </si>
  <si>
    <t xml:space="preserve">Joshua Matthew Philip [Josh]</t>
  </si>
  <si>
    <t xml:space="preserve">2,897</t>
  </si>
  <si>
    <t xml:space="preserve">Malyon [Malyon]</t>
  </si>
  <si>
    <t xml:space="preserve">Larry Robert [Larry]</t>
  </si>
  <si>
    <t xml:space="preserve">794</t>
  </si>
  <si>
    <t xml:space="preserve">O`Neill [O`Neill]</t>
  </si>
  <si>
    <t xml:space="preserve">Justin Nicholas Adair [Justin]</t>
  </si>
  <si>
    <t xml:space="preserve">800</t>
  </si>
  <si>
    <t xml:space="preserve">Pattenden</t>
  </si>
  <si>
    <t xml:space="preserve">Scott Curtis</t>
  </si>
  <si>
    <t xml:space="preserve">954</t>
  </si>
  <si>
    <t xml:space="preserve">Phillips</t>
  </si>
  <si>
    <t xml:space="preserve">Sarah Jane</t>
  </si>
  <si>
    <t xml:space="preserve">1,086</t>
  </si>
  <si>
    <t xml:space="preserve">Pritchard</t>
  </si>
  <si>
    <t xml:space="preserve">Adam</t>
  </si>
  <si>
    <t xml:space="preserve">402</t>
  </si>
  <si>
    <t xml:space="preserve">Reeves [Reeves]</t>
  </si>
  <si>
    <t xml:space="preserve">Paul Christopher Edward [Paul]</t>
  </si>
  <si>
    <t xml:space="preserve">758</t>
  </si>
  <si>
    <t xml:space="preserve">Rennie</t>
  </si>
  <si>
    <t xml:space="preserve">Victoria Louise</t>
  </si>
  <si>
    <t xml:space="preserve">1,312</t>
  </si>
  <si>
    <t xml:space="preserve">Verazzo</t>
  </si>
  <si>
    <t xml:space="preserve">Emily</t>
  </si>
  <si>
    <t xml:space="preserve">421</t>
  </si>
  <si>
    <t xml:space="preserve">Watts</t>
  </si>
  <si>
    <t xml:space="preserve">Christopher Clifford</t>
  </si>
  <si>
    <t xml:space="preserve">855</t>
  </si>
  <si>
    <t xml:space="preserve">Crystal Palace &amp; Anerley</t>
  </si>
  <si>
    <t xml:space="preserve">Erten</t>
  </si>
  <si>
    <t xml:space="preserve">Sonay</t>
  </si>
  <si>
    <t xml:space="preserve">1,259</t>
  </si>
  <si>
    <t xml:space="preserve">Fitch-Bunce</t>
  </si>
  <si>
    <t xml:space="preserve">Stafford Malcom</t>
  </si>
  <si>
    <t xml:space="preserve">119</t>
  </si>
  <si>
    <t xml:space="preserve">McGregor [McGregor]</t>
  </si>
  <si>
    <t xml:space="preserve">Ruth Helen [Ruth]</t>
  </si>
  <si>
    <t xml:space="preserve">1,787</t>
  </si>
  <si>
    <t xml:space="preserve">Moran [Moran]</t>
  </si>
  <si>
    <t xml:space="preserve">Karen Anne [Karen]</t>
  </si>
  <si>
    <t xml:space="preserve">280</t>
  </si>
  <si>
    <t xml:space="preserve">Osaghae [Osaghae]</t>
  </si>
  <si>
    <t xml:space="preserve">Jordaine Lekeisha [Jordaine]</t>
  </si>
  <si>
    <t xml:space="preserve">1,189</t>
  </si>
  <si>
    <t xml:space="preserve">Quarterman [Quarterman]</t>
  </si>
  <si>
    <t xml:space="preserve">David Roy [David]</t>
  </si>
  <si>
    <t xml:space="preserve">268</t>
  </si>
  <si>
    <t xml:space="preserve">Reynolds [Reynolds]</t>
  </si>
  <si>
    <t xml:space="preserve">Patrick Pearse [Pearse]</t>
  </si>
  <si>
    <t xml:space="preserve">108</t>
  </si>
  <si>
    <t xml:space="preserve">Richardson [Richardson]</t>
  </si>
  <si>
    <t xml:space="preserve">Terence John [Terry]</t>
  </si>
  <si>
    <t xml:space="preserve">236</t>
  </si>
  <si>
    <t xml:space="preserve">Singh</t>
  </si>
  <si>
    <t xml:space="preserve">Tanya</t>
  </si>
  <si>
    <t xml:space="preserve">212</t>
  </si>
  <si>
    <t xml:space="preserve">Thomson [Thomson]</t>
  </si>
  <si>
    <t xml:space="preserve">Ryan David [Ryan]</t>
  </si>
  <si>
    <t xml:space="preserve">1,638</t>
  </si>
  <si>
    <t xml:space="preserve">Darwin</t>
  </si>
  <si>
    <t xml:space="preserve">1</t>
  </si>
  <si>
    <t xml:space="preserve">Andrews</t>
  </si>
  <si>
    <t xml:space="preserve">Jonathan James</t>
  </si>
  <si>
    <t xml:space="preserve">1,190</t>
  </si>
  <si>
    <t xml:space="preserve">Barry Ronald [Barry]</t>
  </si>
  <si>
    <t xml:space="preserve">896</t>
  </si>
  <si>
    <t xml:space="preserve">Garrett</t>
  </si>
  <si>
    <t xml:space="preserve">Ann Christine</t>
  </si>
  <si>
    <t xml:space="preserve">Y</t>
  </si>
  <si>
    <t xml:space="preserve">142</t>
  </si>
  <si>
    <t xml:space="preserve">Jones</t>
  </si>
  <si>
    <t xml:space="preserve">80</t>
  </si>
  <si>
    <t xml:space="preserve">Price [Price]</t>
  </si>
  <si>
    <t xml:space="preserve">Frederick Franklin Marshall [Freddie]</t>
  </si>
  <si>
    <t xml:space="preserve">89</t>
  </si>
  <si>
    <t xml:space="preserve">00ABFX6</t>
  </si>
  <si>
    <t xml:space="preserve">00ABFX7</t>
  </si>
  <si>
    <t xml:space="preserve">00ABFX8</t>
  </si>
  <si>
    <t xml:space="preserve">00ABFX9</t>
  </si>
  <si>
    <t xml:space="preserve">Farnborough &amp; Crofton</t>
  </si>
  <si>
    <t xml:space="preserve">Bartholomew [Bartholomew]</t>
  </si>
  <si>
    <t xml:space="preserve">Louis [Lou]</t>
  </si>
  <si>
    <t xml:space="preserve">2,020</t>
  </si>
  <si>
    <t xml:space="preserve">Bowditch</t>
  </si>
  <si>
    <t xml:space="preserve">James</t>
  </si>
  <si>
    <t xml:space="preserve">2,062</t>
  </si>
  <si>
    <t xml:space="preserve">Catchpole</t>
  </si>
  <si>
    <t xml:space="preserve">Ian</t>
  </si>
  <si>
    <t xml:space="preserve">890</t>
  </si>
  <si>
    <t xml:space="preserve">Dourmoush [Dourmoush]</t>
  </si>
  <si>
    <t xml:space="preserve">Ahmet [Andy]</t>
  </si>
  <si>
    <t xml:space="preserve">3,341</t>
  </si>
  <si>
    <t xml:space="preserve">Guillemet</t>
  </si>
  <si>
    <t xml:space="preserve">Steven</t>
  </si>
  <si>
    <t xml:space="preserve">1,896</t>
  </si>
  <si>
    <t xml:space="preserve">Gulati</t>
  </si>
  <si>
    <t xml:space="preserve">Deepanshi Kaur</t>
  </si>
  <si>
    <t xml:space="preserve">Isa [Isa]</t>
  </si>
  <si>
    <t xml:space="preserve">Serife [Sheri]</t>
  </si>
  <si>
    <t xml:space="preserve">3,164</t>
  </si>
  <si>
    <t xml:space="preserve">Lewis</t>
  </si>
  <si>
    <t xml:space="preserve">Mary-Clare</t>
  </si>
  <si>
    <t xml:space="preserve">818</t>
  </si>
  <si>
    <t xml:space="preserve">Loosemore</t>
  </si>
  <si>
    <t xml:space="preserve">John</t>
  </si>
  <si>
    <t xml:space="preserve">792</t>
  </si>
  <si>
    <t xml:space="preserve">McNamara</t>
  </si>
  <si>
    <t xml:space="preserve">Christine Lesley</t>
  </si>
  <si>
    <t xml:space="preserve">754</t>
  </si>
  <si>
    <t xml:space="preserve">Page</t>
  </si>
  <si>
    <t xml:space="preserve">Angela</t>
  </si>
  <si>
    <t xml:space="preserve">3,376</t>
  </si>
  <si>
    <t xml:space="preserve">Seal</t>
  </si>
  <si>
    <t xml:space="preserve">Oscar Roy</t>
  </si>
  <si>
    <t xml:space="preserve">591</t>
  </si>
  <si>
    <t xml:space="preserve">Taylor [Taylor]</t>
  </si>
  <si>
    <t xml:space="preserve">Christopher William [Chris]</t>
  </si>
  <si>
    <t xml:space="preserve">Wiegerling</t>
  </si>
  <si>
    <t xml:space="preserve">Juergen</t>
  </si>
  <si>
    <t xml:space="preserve">681</t>
  </si>
  <si>
    <t xml:space="preserve">Hayes &amp; Coney Hall</t>
  </si>
  <si>
    <t xml:space="preserve">Ayres</t>
  </si>
  <si>
    <t xml:space="preserve">807</t>
  </si>
  <si>
    <t xml:space="preserve">Chant</t>
  </si>
  <si>
    <t xml:space="preserve">Sarah Louise</t>
  </si>
  <si>
    <t xml:space="preserve">1,173</t>
  </si>
  <si>
    <t xml:space="preserve">Coldspring-White [Coldspring-White]</t>
  </si>
  <si>
    <t xml:space="preserve">Joshua Callum [Josh]</t>
  </si>
  <si>
    <t xml:space="preserve">3,732</t>
  </si>
  <si>
    <t xml:space="preserve">Gibbs</t>
  </si>
  <si>
    <t xml:space="preserve">Margaret Helen</t>
  </si>
  <si>
    <t xml:space="preserve">535</t>
  </si>
  <si>
    <t xml:space="preserve">Griffiths [Griffiths]</t>
  </si>
  <si>
    <t xml:space="preserve">Owen Tudor [Tudor]</t>
  </si>
  <si>
    <t xml:space="preserve">601</t>
  </si>
  <si>
    <t xml:space="preserve">Johnstone</t>
  </si>
  <si>
    <t xml:space="preserve">Elizabeth Ruth</t>
  </si>
  <si>
    <t xml:space="preserve">795</t>
  </si>
  <si>
    <t xml:space="preserve">Kennedy [Kennedy]</t>
  </si>
  <si>
    <t xml:space="preserve">Augustine James [Gus]</t>
  </si>
  <si>
    <t xml:space="preserve">1,541</t>
  </si>
  <si>
    <t xml:space="preserve">Alexa Christine Anne</t>
  </si>
  <si>
    <t xml:space="preserve">3,588</t>
  </si>
  <si>
    <t xml:space="preserve">Nwulu Oladipupo</t>
  </si>
  <si>
    <t xml:space="preserve">Henrietta</t>
  </si>
  <si>
    <t xml:space="preserve">1,293</t>
  </si>
  <si>
    <t xml:space="preserve">Rahman</t>
  </si>
  <si>
    <t xml:space="preserve">Rayhan</t>
  </si>
  <si>
    <t xml:space="preserve">602</t>
  </si>
  <si>
    <t xml:space="preserve">Smith [Smith]</t>
  </si>
  <si>
    <t xml:space="preserve">Diane Helen [Diane]</t>
  </si>
  <si>
    <t xml:space="preserve">3,363</t>
  </si>
  <si>
    <t xml:space="preserve">Weaks</t>
  </si>
  <si>
    <t xml:space="preserve">Nicholas</t>
  </si>
  <si>
    <t xml:space="preserve">332</t>
  </si>
  <si>
    <t xml:space="preserve">Williams [Williams]</t>
  </si>
  <si>
    <t xml:space="preserve">Andrew George [Andrew]</t>
  </si>
  <si>
    <t xml:space="preserve">1,479</t>
  </si>
  <si>
    <t xml:space="preserve">Kelsey &amp; Eden Park</t>
  </si>
  <si>
    <t xml:space="preserve">Aldridge [Aldridge]</t>
  </si>
  <si>
    <t xml:space="preserve">Matthew John [Matt]</t>
  </si>
  <si>
    <t xml:space="preserve">1,826</t>
  </si>
  <si>
    <t xml:space="preserve">Amis</t>
  </si>
  <si>
    <t xml:space="preserve">Mark Christopher</t>
  </si>
  <si>
    <t xml:space="preserve">2,468</t>
  </si>
  <si>
    <t xml:space="preserve">Doble</t>
  </si>
  <si>
    <t xml:space="preserve">Michael George</t>
  </si>
  <si>
    <t xml:space="preserve">2,467</t>
  </si>
  <si>
    <t xml:space="preserve">Jackson</t>
  </si>
  <si>
    <t xml:space="preserve">Robert Andrew</t>
  </si>
  <si>
    <t xml:space="preserve">509</t>
  </si>
  <si>
    <t xml:space="preserve">Paul Nicholas Robert</t>
  </si>
  <si>
    <t xml:space="preserve">907</t>
  </si>
  <si>
    <t xml:space="preserve">Knowles-Weir [Knowles-Weir]</t>
  </si>
  <si>
    <t xml:space="preserve">Zach Matthew [Zach]</t>
  </si>
  <si>
    <t xml:space="preserve">759</t>
  </si>
  <si>
    <t xml:space="preserve">Matthews</t>
  </si>
  <si>
    <t xml:space="preserve">Taylor Roger Charlie</t>
  </si>
  <si>
    <t xml:space="preserve">412</t>
  </si>
  <si>
    <t xml:space="preserve">Mutti [Mutti]</t>
  </si>
  <si>
    <t xml:space="preserve">Luisa [Lisa]</t>
  </si>
  <si>
    <t xml:space="preserve">785</t>
  </si>
  <si>
    <t xml:space="preserve">Nevard</t>
  </si>
  <si>
    <t xml:space="preserve">Caroline</t>
  </si>
  <si>
    <t xml:space="preserve">1,075</t>
  </si>
  <si>
    <t xml:space="preserve">Owens [Owens]</t>
  </si>
  <si>
    <t xml:space="preserve">Juliet Magdalen Elizabeth [Ju]</t>
  </si>
  <si>
    <t xml:space="preserve">1,649</t>
  </si>
  <si>
    <t xml:space="preserve">Christopher William Stuart</t>
  </si>
  <si>
    <t xml:space="preserve">2,209</t>
  </si>
  <si>
    <t xml:space="preserve">Saunders [Saunders]</t>
  </si>
  <si>
    <t xml:space="preserve">Louie Jake [Louie]</t>
  </si>
  <si>
    <t xml:space="preserve">1,046</t>
  </si>
  <si>
    <t xml:space="preserve">Slade</t>
  </si>
  <si>
    <t xml:space="preserve">Daniel</t>
  </si>
  <si>
    <t xml:space="preserve">1,031</t>
  </si>
  <si>
    <t xml:space="preserve">Thorpe [Thorpe]</t>
  </si>
  <si>
    <t xml:space="preserve">Matthew Joseph [Matt]</t>
  </si>
  <si>
    <t xml:space="preserve">387</t>
  </si>
  <si>
    <t xml:space="preserve">Williams</t>
  </si>
  <si>
    <t xml:space="preserve">Anne</t>
  </si>
  <si>
    <t xml:space="preserve">1,664</t>
  </si>
  <si>
    <t xml:space="preserve">Mottingham</t>
  </si>
  <si>
    <t xml:space="preserve">Adeduntan [Adeduntan]</t>
  </si>
  <si>
    <t xml:space="preserve">Sarah Temitope [Sarah]</t>
  </si>
  <si>
    <t xml:space="preserve">200</t>
  </si>
  <si>
    <t xml:space="preserve">Cordwell [Cordwell]</t>
  </si>
  <si>
    <t xml:space="preserve">Giles Andrew Watson [Giles]</t>
  </si>
  <si>
    <t xml:space="preserve">976</t>
  </si>
  <si>
    <t xml:space="preserve">McKenley-Osbourne</t>
  </si>
  <si>
    <t xml:space="preserve">Zarreena Jameela</t>
  </si>
  <si>
    <t xml:space="preserve">669</t>
  </si>
  <si>
    <t xml:space="preserve">Pead</t>
  </si>
  <si>
    <t xml:space="preserve">John Leslie</t>
  </si>
  <si>
    <t xml:space="preserve">649</t>
  </si>
  <si>
    <t xml:space="preserve">Rowlands [Rowlands]</t>
  </si>
  <si>
    <t xml:space="preserve">William Michael [Will]</t>
  </si>
  <si>
    <t xml:space="preserve">885</t>
  </si>
  <si>
    <t xml:space="preserve">Sage [Sage]</t>
  </si>
  <si>
    <t xml:space="preserve">Louise Christine [Louise]</t>
  </si>
  <si>
    <t xml:space="preserve">923</t>
  </si>
  <si>
    <t xml:space="preserve">Harriet Josephine Eileen [Harriet]</t>
  </si>
  <si>
    <t xml:space="preserve">Joshua Lloyd Stephen [Josh]</t>
  </si>
  <si>
    <t xml:space="preserve">466</t>
  </si>
  <si>
    <t xml:space="preserve">Tulacz</t>
  </si>
  <si>
    <t xml:space="preserve">Jamie Andrew</t>
  </si>
  <si>
    <t xml:space="preserve">478</t>
  </si>
  <si>
    <t xml:space="preserve">Victoria Elizabeth [Vicki]</t>
  </si>
  <si>
    <t xml:space="preserve">174</t>
  </si>
  <si>
    <t xml:space="preserve">Orpington</t>
  </si>
  <si>
    <t xml:space="preserve">Kim Davina [Kim]</t>
  </si>
  <si>
    <t xml:space="preserve">1,960</t>
  </si>
  <si>
    <t xml:space="preserve">Clark</t>
  </si>
  <si>
    <t xml:space="preserve">Malcolm Douglas</t>
  </si>
  <si>
    <t xml:space="preserve">413</t>
  </si>
  <si>
    <t xml:space="preserve">Dees</t>
  </si>
  <si>
    <t xml:space="preserve">532</t>
  </si>
  <si>
    <t xml:space="preserve">Malone</t>
  </si>
  <si>
    <t xml:space="preserve">Patrick Lewis</t>
  </si>
  <si>
    <t xml:space="preserve">351</t>
  </si>
  <si>
    <t xml:space="preserve">Sawyer [Sawyer]</t>
  </si>
  <si>
    <t xml:space="preserve">Dean Anthony [Dean]</t>
  </si>
  <si>
    <t xml:space="preserve">Scoates [Scoates]</t>
  </si>
  <si>
    <t xml:space="preserve">Richard William [Richard]</t>
  </si>
  <si>
    <t xml:space="preserve">1,102</t>
  </si>
  <si>
    <t xml:space="preserve">Sollitt</t>
  </si>
  <si>
    <t xml:space="preserve">Steven Roy</t>
  </si>
  <si>
    <t xml:space="preserve">762</t>
  </si>
  <si>
    <t xml:space="preserve">Tunnicliffe</t>
  </si>
  <si>
    <t xml:space="preserve">Pauline Anne</t>
  </si>
  <si>
    <t xml:space="preserve">1,690</t>
  </si>
  <si>
    <t xml:space="preserve">Tweddle</t>
  </si>
  <si>
    <t xml:space="preserve">Allan Joseph James</t>
  </si>
  <si>
    <t xml:space="preserve">686</t>
  </si>
  <si>
    <t xml:space="preserve">Penge &amp; Cator</t>
  </si>
  <si>
    <t xml:space="preserve">Allen-Taylor</t>
  </si>
  <si>
    <t xml:space="preserve">Kyle Anthony Royalton</t>
  </si>
  <si>
    <t xml:space="preserve">2,003</t>
  </si>
  <si>
    <t xml:space="preserve">Bance [Bance]</t>
  </si>
  <si>
    <t xml:space="preserve">Katherine Mary [Kathy]</t>
  </si>
  <si>
    <t xml:space="preserve">3,007</t>
  </si>
  <si>
    <t xml:space="preserve">Elected</t>
  </si>
  <si>
    <t xml:space="preserve">Dearing</t>
  </si>
  <si>
    <t xml:space="preserve">Sarah Juliet</t>
  </si>
  <si>
    <t xml:space="preserve">2,061</t>
  </si>
  <si>
    <t xml:space="preserve">Gandecha</t>
  </si>
  <si>
    <t xml:space="preserve">Suraj Rajesh</t>
  </si>
  <si>
    <t xml:space="preserve">Huntington-Thresher</t>
  </si>
  <si>
    <t xml:space="preserve">William Keith Ernest</t>
  </si>
  <si>
    <t xml:space="preserve">530</t>
  </si>
  <si>
    <t xml:space="preserve">Jeal [Jeal]</t>
  </si>
  <si>
    <t xml:space="preserve">Simon David [Simon]</t>
  </si>
  <si>
    <t xml:space="preserve">2,661</t>
  </si>
  <si>
    <t xml:space="preserve">Kennedy-Brooks [Kennedy-Brooks]</t>
  </si>
  <si>
    <t xml:space="preserve">Kevin Charles [Kevin]</t>
  </si>
  <si>
    <t xml:space="preserve">2,489</t>
  </si>
  <si>
    <t xml:space="preserve">Maxwell</t>
  </si>
  <si>
    <t xml:space="preserve">Lindsay Victoria</t>
  </si>
  <si>
    <t xml:space="preserve">311</t>
  </si>
  <si>
    <t xml:space="preserve">Meyer</t>
  </si>
  <si>
    <t xml:space="preserve">Daniel Philip</t>
  </si>
  <si>
    <t xml:space="preserve">1,818</t>
  </si>
  <si>
    <t xml:space="preserve">Miller [Miller]</t>
  </si>
  <si>
    <t xml:space="preserve">Calum James [Calum]</t>
  </si>
  <si>
    <t xml:space="preserve">636</t>
  </si>
  <si>
    <t xml:space="preserve">Morrall [Morrall]</t>
  </si>
  <si>
    <t xml:space="preserve">David Geoffrey [David]</t>
  </si>
  <si>
    <t xml:space="preserve">610</t>
  </si>
  <si>
    <t xml:space="preserve">Power [Power]</t>
  </si>
  <si>
    <t xml:space="preserve">Anthony Tenison Hale [Tony]</t>
  </si>
  <si>
    <t xml:space="preserve">511</t>
  </si>
  <si>
    <t xml:space="preserve">Robinson [Robinson]</t>
  </si>
  <si>
    <t xml:space="preserve">Azatuhi [Mila]</t>
  </si>
  <si>
    <t xml:space="preserve">581</t>
  </si>
  <si>
    <t xml:space="preserve">Rutherford</t>
  </si>
  <si>
    <t xml:space="preserve">Michael James</t>
  </si>
  <si>
    <t xml:space="preserve">483</t>
  </si>
  <si>
    <t xml:space="preserve">Vongswang [Vongswang]</t>
  </si>
  <si>
    <t xml:space="preserve">Danai Peter [Dan]</t>
  </si>
  <si>
    <t xml:space="preserve">226</t>
  </si>
  <si>
    <t xml:space="preserve">Petts Wood &amp; Knoll</t>
  </si>
  <si>
    <t xml:space="preserve">Barnes</t>
  </si>
  <si>
    <t xml:space="preserve">George Andrew</t>
  </si>
  <si>
    <t xml:space="preserve">4,010</t>
  </si>
  <si>
    <t xml:space="preserve">Colaj</t>
  </si>
  <si>
    <t xml:space="preserve">Sara</t>
  </si>
  <si>
    <t xml:space="preserve">967</t>
  </si>
  <si>
    <t xml:space="preserve">Dasley [Dasley]</t>
  </si>
  <si>
    <t xml:space="preserve">Hugh Fraser [Hugh]</t>
  </si>
  <si>
    <t xml:space="preserve">1,419</t>
  </si>
  <si>
    <t xml:space="preserve">Fawthrop</t>
  </si>
  <si>
    <t xml:space="preserve">Simon Henry</t>
  </si>
  <si>
    <t xml:space="preserve">3,951</t>
  </si>
  <si>
    <t xml:space="preserve">Fisher [Fisher]</t>
  </si>
  <si>
    <t xml:space="preserve">Timothy Andrew [Tim]</t>
  </si>
  <si>
    <t xml:space="preserve">Gulvin [Gulvin]</t>
  </si>
  <si>
    <t xml:space="preserve">Benjamin Charles [Ben]</t>
  </si>
  <si>
    <t xml:space="preserve">1,383</t>
  </si>
  <si>
    <t xml:space="preserve">Hemming-Clark</t>
  </si>
  <si>
    <t xml:space="preserve">1,380</t>
  </si>
  <si>
    <t xml:space="preserve">Loxley [Loxley]</t>
  </si>
  <si>
    <t xml:space="preserve">Benedict Solomon Gaiger [Ben]</t>
  </si>
  <si>
    <t xml:space="preserve">791</t>
  </si>
  <si>
    <t xml:space="preserve">Mills</t>
  </si>
  <si>
    <t xml:space="preserve">Margaret Ann</t>
  </si>
  <si>
    <t xml:space="preserve">674</t>
  </si>
  <si>
    <t xml:space="preserve">Owen [Owen]</t>
  </si>
  <si>
    <t xml:space="preserve">Anthony Mervyn [Tony]</t>
  </si>
  <si>
    <t xml:space="preserve">3,879</t>
  </si>
  <si>
    <t xml:space="preserve">Sabelus</t>
  </si>
  <si>
    <t xml:space="preserve">Saskia Felicitas</t>
  </si>
  <si>
    <t xml:space="preserve">872</t>
  </si>
  <si>
    <t xml:space="preserve">Velvick</t>
  </si>
  <si>
    <t xml:space="preserve">Thomas Wimal</t>
  </si>
  <si>
    <t xml:space="preserve">685</t>
  </si>
  <si>
    <t xml:space="preserve">Wretham</t>
  </si>
  <si>
    <t xml:space="preserve">Gareth Lloyd</t>
  </si>
  <si>
    <t xml:space="preserve">473</t>
  </si>
  <si>
    <t xml:space="preserve">Plaistow</t>
  </si>
  <si>
    <t xml:space="preserve">Dhesi [Dhesi]</t>
  </si>
  <si>
    <t xml:space="preserve">Paul James Tiger Singh [Paul]</t>
  </si>
  <si>
    <t xml:space="preserve">770</t>
  </si>
  <si>
    <t xml:space="preserve">Furniss</t>
  </si>
  <si>
    <t xml:space="preserve">Lesley Carol</t>
  </si>
  <si>
    <t xml:space="preserve">289</t>
  </si>
  <si>
    <t xml:space="preserve">Peter Robert</t>
  </si>
  <si>
    <t xml:space="preserve">224</t>
  </si>
  <si>
    <t xml:space="preserve">Igoe [Igoe]</t>
  </si>
  <si>
    <t xml:space="preserve">Alisa Elaine Ide [Alisa]</t>
  </si>
  <si>
    <t xml:space="preserve">Independent</t>
  </si>
  <si>
    <t xml:space="preserve">569</t>
  </si>
  <si>
    <t xml:space="preserve">Ion</t>
  </si>
  <si>
    <t xml:space="preserve">Mary Elizabeth</t>
  </si>
  <si>
    <t xml:space="preserve">McCormack [McCormack]</t>
  </si>
  <si>
    <t xml:space="preserve">Ian Michael [Ian]</t>
  </si>
  <si>
    <t xml:space="preserve">498</t>
  </si>
  <si>
    <t xml:space="preserve">McPartlan [McPartlan]</t>
  </si>
  <si>
    <t xml:space="preserve">Anthony James [Tony]</t>
  </si>
  <si>
    <t xml:space="preserve">1,127</t>
  </si>
  <si>
    <t xml:space="preserve">Morgan</t>
  </si>
  <si>
    <t xml:space="preserve">Elizabeth Hookway</t>
  </si>
  <si>
    <t xml:space="preserve">942</t>
  </si>
  <si>
    <t xml:space="preserve">Papayannakos</t>
  </si>
  <si>
    <t xml:space="preserve">Panos Robert</t>
  </si>
  <si>
    <t xml:space="preserve">1,328</t>
  </si>
  <si>
    <t xml:space="preserve">Puthenpurakal</t>
  </si>
  <si>
    <t xml:space="preserve">Alwin</t>
  </si>
  <si>
    <t xml:space="preserve">1,148</t>
  </si>
  <si>
    <t xml:space="preserve">Stevens [Stevens]</t>
  </si>
  <si>
    <t xml:space="preserve">Gary Ernest [Gary]</t>
  </si>
  <si>
    <t xml:space="preserve">784</t>
  </si>
  <si>
    <t xml:space="preserve">Shortlands &amp; Park Langley</t>
  </si>
  <si>
    <t xml:space="preserve">Aboushagor</t>
  </si>
  <si>
    <t xml:space="preserve">Amin</t>
  </si>
  <si>
    <t xml:space="preserve">969</t>
  </si>
  <si>
    <t xml:space="preserve">Apostolides [Apostolides]</t>
  </si>
  <si>
    <t xml:space="preserve">Demetrios Angelo Edward [Edward]</t>
  </si>
  <si>
    <t xml:space="preserve">1,064</t>
  </si>
  <si>
    <t xml:space="preserve">Beecroft</t>
  </si>
  <si>
    <t xml:space="preserve">596</t>
  </si>
  <si>
    <t xml:space="preserve">Emerson</t>
  </si>
  <si>
    <t xml:space="preserve">Gail</t>
  </si>
  <si>
    <t xml:space="preserve">1,021</t>
  </si>
  <si>
    <t xml:space="preserve">Fox</t>
  </si>
  <si>
    <t xml:space="preserve">Sarah Annabel</t>
  </si>
  <si>
    <t xml:space="preserve">671</t>
  </si>
  <si>
    <t xml:space="preserve">Grant [Grant]</t>
  </si>
  <si>
    <t xml:space="preserve">Michael Adam Jude [Adam]</t>
  </si>
  <si>
    <t xml:space="preserve">3,121</t>
  </si>
  <si>
    <t xml:space="preserve">Gupta [Gupta]</t>
  </si>
  <si>
    <t xml:space="preserve">Serena Shyamali [Serena]</t>
  </si>
  <si>
    <t xml:space="preserve">3,018</t>
  </si>
  <si>
    <t xml:space="preserve">Hardy</t>
  </si>
  <si>
    <t xml:space="preserve">Jessica</t>
  </si>
  <si>
    <t xml:space="preserve">993</t>
  </si>
  <si>
    <t xml:space="preserve">Hudson [Hudson]</t>
  </si>
  <si>
    <t xml:space="preserve">Christopher Charles [Chris]</t>
  </si>
  <si>
    <t xml:space="preserve">Percy [Percy]</t>
  </si>
  <si>
    <t xml:space="preserve">Richard Terence [Richard]</t>
  </si>
  <si>
    <t xml:space="preserve">1,002</t>
  </si>
  <si>
    <t xml:space="preserve">Shahin</t>
  </si>
  <si>
    <t xml:space="preserve">924</t>
  </si>
  <si>
    <t xml:space="preserve">Jack Robert Cowood</t>
  </si>
  <si>
    <t xml:space="preserve">953</t>
  </si>
  <si>
    <t xml:space="preserve">Turrell [Turrell]</t>
  </si>
  <si>
    <t xml:space="preserve">Gemma Jade [Gemma]</t>
  </si>
  <si>
    <t xml:space="preserve">3,003</t>
  </si>
  <si>
    <t xml:space="preserve">Wells</t>
  </si>
  <si>
    <t xml:space="preserve">Stephen</t>
  </si>
  <si>
    <t xml:space="preserve">576</t>
  </si>
  <si>
    <t xml:space="preserve">Witham</t>
  </si>
  <si>
    <t xml:space="preserve">Hannah Moyne</t>
  </si>
  <si>
    <t xml:space="preserve">861</t>
  </si>
  <si>
    <t xml:space="preserve">St Mary Cray</t>
  </si>
  <si>
    <t xml:space="preserve">Arthur</t>
  </si>
  <si>
    <t xml:space="preserve">Nathaniel</t>
  </si>
  <si>
    <t xml:space="preserve">718</t>
  </si>
  <si>
    <t xml:space="preserve">Bear [Bear]</t>
  </si>
  <si>
    <t xml:space="preserve">Yvonne Jasmine Mary [Yvonne]</t>
  </si>
  <si>
    <t xml:space="preserve">2,239</t>
  </si>
  <si>
    <t xml:space="preserve">Rebecca Elizabeth</t>
  </si>
  <si>
    <t xml:space="preserve">350</t>
  </si>
  <si>
    <t xml:space="preserve">Edward Donald</t>
  </si>
  <si>
    <t xml:space="preserve">261</t>
  </si>
  <si>
    <t xml:space="preserve">Honess</t>
  </si>
  <si>
    <t xml:space="preserve">Richard</t>
  </si>
  <si>
    <t xml:space="preserve">640</t>
  </si>
  <si>
    <t xml:space="preserve">Ibrahim [Ibrahim]</t>
  </si>
  <si>
    <t xml:space="preserve">Halimot Iretiola [Hali]</t>
  </si>
  <si>
    <t xml:space="preserve">698</t>
  </si>
  <si>
    <t xml:space="preserve">Loosemore [Loosemore]</t>
  </si>
  <si>
    <t xml:space="preserve">Oliver [Olly]</t>
  </si>
  <si>
    <t xml:space="preserve">McCauley [McCauley]</t>
  </si>
  <si>
    <t xml:space="preserve">Seamus William John [Seamus]</t>
  </si>
  <si>
    <t xml:space="preserve">Michaelis [Michaelis]</t>
  </si>
  <si>
    <t xml:space="preserve">John Reuben [John]</t>
  </si>
  <si>
    <t xml:space="preserve">1,637</t>
  </si>
  <si>
    <t xml:space="preserve">Pearson [Pearson]</t>
  </si>
  <si>
    <t xml:space="preserve">Matthew Lee Alan [Matthew]</t>
  </si>
  <si>
    <t xml:space="preserve">1,599</t>
  </si>
  <si>
    <t xml:space="preserve">Rest</t>
  </si>
  <si>
    <t xml:space="preserve">Jake Paul</t>
  </si>
  <si>
    <t xml:space="preserve">660</t>
  </si>
  <si>
    <t xml:space="preserve">Rushworth [Rushworth]</t>
  </si>
  <si>
    <t xml:space="preserve">Claire Marianne [Claire]</t>
  </si>
  <si>
    <t xml:space="preserve">1,578</t>
  </si>
  <si>
    <t xml:space="preserve">Slator</t>
  </si>
  <si>
    <t xml:space="preserve">Shaun</t>
  </si>
  <si>
    <t xml:space="preserve">2,154</t>
  </si>
  <si>
    <t xml:space="preserve">Stranger</t>
  </si>
  <si>
    <t xml:space="preserve">Harry Randolph</t>
  </si>
  <si>
    <t xml:space="preserve">2,011</t>
  </si>
  <si>
    <t xml:space="preserve">Ubochi</t>
  </si>
  <si>
    <t xml:space="preserve">Julius Ugochukwu</t>
  </si>
  <si>
    <t xml:space="preserve">521</t>
  </si>
  <si>
    <t xml:space="preserve">St Paul's Cray</t>
  </si>
  <si>
    <t xml:space="preserve">Adediran [Adediran]</t>
  </si>
  <si>
    <t xml:space="preserve">Kayode Bolarinwa [Bola]</t>
  </si>
  <si>
    <t xml:space="preserve">1,138</t>
  </si>
  <si>
    <t xml:space="preserve">Barker</t>
  </si>
  <si>
    <t xml:space="preserve">Katharine Elizabeth</t>
  </si>
  <si>
    <t xml:space="preserve">651</t>
  </si>
  <si>
    <t xml:space="preserve">Loosemore-Reppen</t>
  </si>
  <si>
    <t xml:space="preserve">Gerda Claire</t>
  </si>
  <si>
    <t xml:space="preserve">278</t>
  </si>
  <si>
    <t xml:space="preserve">Marlow</t>
  </si>
  <si>
    <t xml:space="preserve">Christopher David</t>
  </si>
  <si>
    <t xml:space="preserve">1,588</t>
  </si>
  <si>
    <t xml:space="preserve">Miller</t>
  </si>
  <si>
    <t xml:space="preserve">Dean James</t>
  </si>
  <si>
    <t xml:space="preserve">1,534</t>
  </si>
  <si>
    <t xml:space="preserve">Newitt</t>
  </si>
  <si>
    <t xml:space="preserve">Richard James</t>
  </si>
  <si>
    <t xml:space="preserve">242</t>
  </si>
  <si>
    <t xml:space="preserve">Oleka [Oleka]</t>
  </si>
  <si>
    <t xml:space="preserve">James Ogechukwu [James]</t>
  </si>
  <si>
    <t xml:space="preserve">1,008</t>
  </si>
  <si>
    <t xml:space="preserve">Palmer</t>
  </si>
  <si>
    <t xml:space="preserve">Janvier Nadene Dorrance Yimbo</t>
  </si>
  <si>
    <t xml:space="preserve">901</t>
  </si>
  <si>
    <t xml:space="preserve">Christopher John [Chris]</t>
  </si>
  <si>
    <t xml:space="preserve">1,139</t>
  </si>
  <si>
    <t xml:space="preserve">Deborah May [Debbie]</t>
  </si>
  <si>
    <t xml:space="preserve">1,016</t>
  </si>
  <si>
    <t xml:space="preserve">Rawles [Rawles]</t>
  </si>
  <si>
    <t xml:space="preserve">William Heywood [William]</t>
  </si>
  <si>
    <t xml:space="preserve">1,445</t>
  </si>
  <si>
    <t xml:space="preserve">Swift</t>
  </si>
  <si>
    <t xml:space="preserve">Jonathan</t>
  </si>
  <si>
    <t xml:space="preserve">234</t>
  </si>
  <si>
    <t xml:space="preserve">Anthony James</t>
  </si>
  <si>
    <t xml:space="preserve">1,012</t>
  </si>
  <si>
    <t xml:space="preserve">West Wickham</t>
  </si>
  <si>
    <t xml:space="preserve">Bently</t>
  </si>
  <si>
    <t xml:space="preserve">Peter Lionel Rothwell</t>
  </si>
  <si>
    <t xml:space="preserve">964</t>
  </si>
  <si>
    <t xml:space="preserve">Burden</t>
  </si>
  <si>
    <t xml:space="preserve">Daniel Michael</t>
  </si>
  <si>
    <t xml:space="preserve">3,248</t>
  </si>
  <si>
    <t xml:space="preserve">Davenport [Davenport]</t>
  </si>
  <si>
    <t xml:space="preserve">Christopher [Chris]</t>
  </si>
  <si>
    <t xml:space="preserve">Davis</t>
  </si>
  <si>
    <t xml:space="preserve">465</t>
  </si>
  <si>
    <t xml:space="preserve">Olga</t>
  </si>
  <si>
    <t xml:space="preserve">845</t>
  </si>
  <si>
    <t xml:space="preserve">Farnham [Farnham]</t>
  </si>
  <si>
    <t xml:space="preserve">Raymond Robert [Ray]</t>
  </si>
  <si>
    <t xml:space="preserve">Gee [Gee]</t>
  </si>
  <si>
    <t xml:space="preserve">Robert Hilary [Hilary]</t>
  </si>
  <si>
    <t xml:space="preserve">808</t>
  </si>
  <si>
    <t xml:space="preserve">Gray [Gray]</t>
  </si>
  <si>
    <t xml:space="preserve">Jennifer Hannah [Hannah]</t>
  </si>
  <si>
    <t xml:space="preserve">3,123</t>
  </si>
  <si>
    <t xml:space="preserve">Harris</t>
  </si>
  <si>
    <t xml:space="preserve">Christine</t>
  </si>
  <si>
    <t xml:space="preserve">3,093</t>
  </si>
  <si>
    <t xml:space="preserve">Hulm</t>
  </si>
  <si>
    <t xml:space="preserve">Angela Rahil</t>
  </si>
  <si>
    <t xml:space="preserve">Richard Michael</t>
  </si>
  <si>
    <t xml:space="preserve">313</t>
  </si>
  <si>
    <t xml:space="preserve">Mansaray [Mansaray]</t>
  </si>
  <si>
    <t xml:space="preserve">Anna Gemma Mary [Anna]</t>
  </si>
  <si>
    <t xml:space="preserve">704</t>
  </si>
  <si>
    <t xml:space="preserve">O`Keefe [Percy]</t>
  </si>
  <si>
    <t xml:space="preserve">Deborah [Deborah]</t>
  </si>
  <si>
    <t xml:space="preserve">1,134</t>
  </si>
  <si>
    <t xml:space="preserve">Quinn</t>
  </si>
  <si>
    <t xml:space="preserve">Lewis James</t>
  </si>
  <si>
    <t xml:space="preserve">774</t>
  </si>
  <si>
    <t xml:space="preserve">Laura Janet [Laura]</t>
  </si>
  <si>
    <t xml:space="preserve">1,094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</si>
</sst>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F800]dddd&quot;, &quot;mmmm\ dd&quot;, &quot;yyyy"/>
    <numFmt numFmtId="166" formatCode="0"/>
    <numFmt numFmtId="167" formatCode="0.00%"/>
    <numFmt numFmtId="168" formatCode="#,##0"/>
    <numFmt numFmtId="169" formatCode="@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FFFF"/>
      <name val="Arial"/>
      <family val="2"/>
      <charset val="1"/>
    </font>
    <font>
      <sz val="11"/>
      <color theme="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8.25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5"/>
        <bgColor rgb="FFC0C0C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 diagonalUp="false" diagonalDown="false">
      <left style="thin">
        <color theme="0" tint="-0.25"/>
      </left>
      <right style="thin"/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/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 style="thin"/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/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2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7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3" fillId="2" borderId="4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9" fontId="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3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9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3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9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2" borderId="5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9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8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8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Sheet1" xfId="20"/>
  </cellStyles>
  <dxfs count="132"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<Relationship Id="rId2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7" activeCellId="0" sqref="F47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20.78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25.55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12443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6234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4926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1308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0.501004580888853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14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8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4.25" hidden="false" customHeight="true" outlineLevel="0" collapsed="false">
      <c r="A20" s="18" t="n">
        <v>1</v>
      </c>
      <c r="B20" s="19" t="s">
        <v>28</v>
      </c>
      <c r="C20" s="19" t="s">
        <v>29</v>
      </c>
      <c r="D20" s="20"/>
      <c r="E20" s="21" t="s">
        <v>30</v>
      </c>
      <c r="F20" s="22" t="n">
        <v>1753</v>
      </c>
      <c r="G20" s="20"/>
      <c r="H20" s="8"/>
      <c r="I20" s="23"/>
    </row>
    <row r="21" customFormat="false" ht="14.25" hidden="false" customHeight="true" outlineLevel="0" collapsed="false">
      <c r="A21" s="18" t="n">
        <v>2</v>
      </c>
      <c r="B21" s="24" t="s">
        <v>31</v>
      </c>
      <c r="C21" s="24" t="s">
        <v>32</v>
      </c>
      <c r="D21" s="25" t="s">
        <v>33</v>
      </c>
      <c r="E21" s="26" t="s">
        <v>34</v>
      </c>
      <c r="F21" s="27" t="n">
        <v>2043</v>
      </c>
      <c r="G21" s="25" t="s">
        <v>35</v>
      </c>
      <c r="H21" s="8"/>
      <c r="I21" s="23"/>
    </row>
    <row r="22" customFormat="false" ht="14.25" hidden="false" customHeight="true" outlineLevel="0" collapsed="false">
      <c r="A22" s="18" t="n">
        <v>3</v>
      </c>
      <c r="B22" s="28" t="s">
        <v>36</v>
      </c>
      <c r="C22" s="28" t="s">
        <v>37</v>
      </c>
      <c r="D22" s="29" t="s">
        <v>33</v>
      </c>
      <c r="E22" s="30" t="s">
        <v>38</v>
      </c>
      <c r="F22" s="30" t="n">
        <v>858</v>
      </c>
      <c r="G22" s="29"/>
      <c r="H22" s="8"/>
      <c r="I22" s="23"/>
    </row>
    <row r="23" customFormat="false" ht="14.25" hidden="false" customHeight="true" outlineLevel="0" collapsed="false">
      <c r="A23" s="18" t="n">
        <v>4</v>
      </c>
      <c r="B23" s="24" t="s">
        <v>39</v>
      </c>
      <c r="C23" s="24" t="s">
        <v>40</v>
      </c>
      <c r="D23" s="25"/>
      <c r="E23" s="26" t="s">
        <v>38</v>
      </c>
      <c r="F23" s="26" t="n">
        <v>721</v>
      </c>
      <c r="G23" s="25"/>
      <c r="H23" s="8"/>
      <c r="I23" s="23"/>
    </row>
    <row r="24" customFormat="false" ht="13.8" hidden="false" customHeight="false" outlineLevel="0" collapsed="false">
      <c r="A24" s="18" t="n">
        <v>5</v>
      </c>
      <c r="B24" s="28" t="s">
        <v>41</v>
      </c>
      <c r="C24" s="28" t="s">
        <v>42</v>
      </c>
      <c r="D24" s="29"/>
      <c r="E24" s="30" t="s">
        <v>38</v>
      </c>
      <c r="F24" s="30" t="n">
        <v>645</v>
      </c>
      <c r="G24" s="29"/>
      <c r="H24" s="8"/>
      <c r="I24" s="23"/>
    </row>
    <row r="25" customFormat="false" ht="14.25" hidden="false" customHeight="true" outlineLevel="0" collapsed="false">
      <c r="A25" s="18" t="n">
        <v>6</v>
      </c>
      <c r="B25" s="24" t="s">
        <v>43</v>
      </c>
      <c r="C25" s="24" t="s">
        <v>44</v>
      </c>
      <c r="D25" s="25" t="s">
        <v>33</v>
      </c>
      <c r="E25" s="26" t="s">
        <v>45</v>
      </c>
      <c r="F25" s="26" t="n">
        <v>869</v>
      </c>
      <c r="G25" s="25"/>
      <c r="H25" s="8"/>
      <c r="I25" s="23"/>
    </row>
    <row r="26" customFormat="false" ht="13.8" hidden="false" customHeight="false" outlineLevel="0" collapsed="false">
      <c r="A26" s="18" t="n">
        <v>7</v>
      </c>
      <c r="B26" s="28" t="s">
        <v>46</v>
      </c>
      <c r="C26" s="28" t="s">
        <v>47</v>
      </c>
      <c r="D26" s="29"/>
      <c r="E26" s="30" t="s">
        <v>34</v>
      </c>
      <c r="F26" s="31" t="n">
        <v>2042</v>
      </c>
      <c r="G26" s="29" t="s">
        <v>35</v>
      </c>
      <c r="H26" s="8"/>
      <c r="I26" s="23"/>
    </row>
    <row r="27" customFormat="false" ht="13.8" hidden="false" customHeight="false" outlineLevel="0" collapsed="false">
      <c r="A27" s="18" t="n">
        <v>8</v>
      </c>
      <c r="B27" s="24" t="s">
        <v>48</v>
      </c>
      <c r="C27" s="24" t="s">
        <v>49</v>
      </c>
      <c r="D27" s="25"/>
      <c r="E27" s="26" t="s">
        <v>45</v>
      </c>
      <c r="F27" s="26" t="n">
        <v>835</v>
      </c>
      <c r="G27" s="25"/>
      <c r="H27" s="8"/>
      <c r="I27" s="23"/>
    </row>
    <row r="28" customFormat="false" ht="13.8" hidden="false" customHeight="false" outlineLevel="0" collapsed="false">
      <c r="A28" s="18" t="n">
        <v>9</v>
      </c>
      <c r="B28" s="28" t="s">
        <v>50</v>
      </c>
      <c r="C28" s="28" t="s">
        <v>51</v>
      </c>
      <c r="D28" s="29"/>
      <c r="E28" s="30" t="s">
        <v>30</v>
      </c>
      <c r="F28" s="31" t="n">
        <v>1652</v>
      </c>
      <c r="G28" s="29"/>
      <c r="H28" s="8"/>
      <c r="I28" s="23"/>
    </row>
    <row r="29" customFormat="false" ht="14.25" hidden="false" customHeight="true" outlineLevel="0" collapsed="false">
      <c r="A29" s="18" t="n">
        <v>10</v>
      </c>
      <c r="B29" s="24" t="s">
        <v>52</v>
      </c>
      <c r="C29" s="24" t="s">
        <v>53</v>
      </c>
      <c r="D29" s="25"/>
      <c r="E29" s="26" t="s">
        <v>45</v>
      </c>
      <c r="F29" s="26" t="n">
        <v>704</v>
      </c>
      <c r="G29" s="25"/>
      <c r="H29" s="8"/>
      <c r="I29" s="23"/>
    </row>
    <row r="30" customFormat="false" ht="14.25" hidden="false" customHeight="true" outlineLevel="0" collapsed="false">
      <c r="A30" s="18" t="n">
        <v>11</v>
      </c>
      <c r="B30" s="28" t="s">
        <v>54</v>
      </c>
      <c r="C30" s="28" t="s">
        <v>55</v>
      </c>
      <c r="D30" s="29" t="s">
        <v>33</v>
      </c>
      <c r="E30" s="30" t="s">
        <v>34</v>
      </c>
      <c r="F30" s="31" t="n">
        <v>2257</v>
      </c>
      <c r="G30" s="29" t="s">
        <v>35</v>
      </c>
      <c r="H30" s="8"/>
      <c r="I30" s="23"/>
    </row>
    <row r="31" customFormat="false" ht="13.8" hidden="false" customHeight="false" outlineLevel="0" collapsed="false">
      <c r="A31" s="18" t="n">
        <v>12</v>
      </c>
      <c r="B31" s="24" t="s">
        <v>56</v>
      </c>
      <c r="C31" s="24" t="s">
        <v>57</v>
      </c>
      <c r="D31" s="25"/>
      <c r="E31" s="26" t="s">
        <v>30</v>
      </c>
      <c r="F31" s="27" t="n">
        <v>1825</v>
      </c>
      <c r="G31" s="25"/>
      <c r="H31" s="8"/>
      <c r="I31" s="23"/>
    </row>
    <row r="32" customFormat="false" ht="13.8" hidden="false" customHeight="false" outlineLevel="0" collapsed="false">
      <c r="A32" s="18" t="n">
        <v>13</v>
      </c>
      <c r="B32" s="28" t="s">
        <v>58</v>
      </c>
      <c r="C32" s="28" t="s">
        <v>59</v>
      </c>
      <c r="D32" s="29"/>
      <c r="E32" s="32" t="s">
        <v>60</v>
      </c>
      <c r="F32" s="30" t="n">
        <v>769</v>
      </c>
      <c r="G32" s="29"/>
      <c r="H32" s="8"/>
      <c r="I32" s="23"/>
    </row>
    <row r="33" customFormat="false" ht="13.8" hidden="false" customHeight="false" outlineLevel="0" collapsed="false">
      <c r="A33" s="18" t="n">
        <v>14</v>
      </c>
      <c r="B33" s="24" t="s">
        <v>61</v>
      </c>
      <c r="C33" s="24" t="s">
        <v>62</v>
      </c>
      <c r="D33" s="25" t="s">
        <v>33</v>
      </c>
      <c r="E33" s="26" t="s">
        <v>60</v>
      </c>
      <c r="F33" s="26" t="n">
        <v>724</v>
      </c>
      <c r="G33" s="25"/>
      <c r="H33" s="8"/>
      <c r="I33" s="23"/>
    </row>
    <row r="34" customFormat="false" ht="13.8" hidden="false" customHeight="false" outlineLevel="0" collapsed="false">
      <c r="A34" s="18" t="n">
        <v>15</v>
      </c>
      <c r="B34" s="28" t="s">
        <v>63</v>
      </c>
      <c r="C34" s="28" t="s">
        <v>64</v>
      </c>
      <c r="D34" s="29"/>
      <c r="E34" s="30" t="s">
        <v>60</v>
      </c>
      <c r="F34" s="30" t="n">
        <v>687</v>
      </c>
      <c r="G34" s="29"/>
      <c r="H34" s="8"/>
      <c r="I34" s="23"/>
    </row>
    <row r="35" customFormat="false" ht="13.8" hidden="false" customHeight="false" outlineLevel="0" collapsed="false">
      <c r="A35" s="18" t="n">
        <v>16</v>
      </c>
      <c r="B35" s="29"/>
      <c r="C35" s="29"/>
      <c r="D35" s="29"/>
      <c r="E35" s="29"/>
      <c r="F35" s="29"/>
      <c r="G35" s="29"/>
      <c r="H35" s="8" t="s">
        <v>65</v>
      </c>
      <c r="I35" s="23"/>
    </row>
    <row r="36" customFormat="false" ht="14.25" hidden="false" customHeight="true" outlineLevel="0" collapsed="false">
      <c r="A36" s="18" t="n">
        <v>17</v>
      </c>
      <c r="B36" s="29"/>
      <c r="C36" s="29"/>
      <c r="D36" s="29"/>
      <c r="E36" s="29"/>
      <c r="F36" s="29"/>
      <c r="G36" s="29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29"/>
      <c r="C37" s="29"/>
      <c r="D37" s="29"/>
      <c r="E37" s="29"/>
      <c r="F37" s="29"/>
      <c r="G37" s="29"/>
      <c r="H37" s="8" t="s">
        <v>67</v>
      </c>
      <c r="I37" s="23"/>
    </row>
    <row r="38" customFormat="false" ht="14.25" hidden="false" customHeight="true" outlineLevel="0" collapsed="false">
      <c r="A38" s="18" t="n">
        <v>19</v>
      </c>
      <c r="B38" s="29"/>
      <c r="C38" s="29"/>
      <c r="D38" s="29"/>
      <c r="E38" s="29"/>
      <c r="F38" s="29"/>
      <c r="G38" s="29"/>
      <c r="H38" s="8" t="s">
        <v>68</v>
      </c>
      <c r="I38" s="23"/>
    </row>
    <row r="39" customFormat="false" ht="14.25" hidden="false" customHeight="true" outlineLevel="0" collapsed="false">
      <c r="A39" s="18" t="n">
        <v>20</v>
      </c>
      <c r="B39" s="29"/>
      <c r="C39" s="29"/>
      <c r="D39" s="29"/>
      <c r="E39" s="29"/>
      <c r="F39" s="29"/>
      <c r="G39" s="29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29"/>
      <c r="C40" s="29"/>
      <c r="D40" s="29"/>
      <c r="E40" s="29"/>
      <c r="F40" s="29"/>
      <c r="G40" s="29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G20:G34 B35:G40">
    <cfRule type="expression" priority="2" aboveAverage="0" equalAverage="0" bottom="0" percent="0" rank="0" text="" dxfId="0">
      <formula>MOD(ROW(),2)=0</formula>
    </cfRule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2">
      <formula>MOD(ROW(),2)=0</formula>
    </cfRule>
    <cfRule type="expression" priority="5" aboveAverage="0" equalAverage="0" bottom="0" percent="0" rank="0" text="" dxfId="3">
      <formula>MOD(ROW(),2)=1</formula>
    </cfRule>
  </conditionalFormatting>
  <conditionalFormatting sqref="B20:D34">
    <cfRule type="expression" priority="6" aboveAverage="0" equalAverage="0" bottom="0" percent="0" rank="0" text="" dxfId="4">
      <formula>MOD(ROW(),2)=0</formula>
    </cfRule>
    <cfRule type="expression" priority="7" aboveAverage="0" equalAverage="0" bottom="0" percent="0" rank="0" text="" dxfId="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2" activeCellId="0" sqref="G32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7.44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71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13644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7001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5341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1660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0.513119319847552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5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4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72</v>
      </c>
      <c r="C20" s="35" t="s">
        <v>73</v>
      </c>
      <c r="D20" s="35"/>
      <c r="E20" s="35" t="s">
        <v>30</v>
      </c>
      <c r="F20" s="36" t="s">
        <v>74</v>
      </c>
      <c r="G20" s="37" t="s">
        <v>35</v>
      </c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75</v>
      </c>
      <c r="C21" s="35" t="s">
        <v>76</v>
      </c>
      <c r="D21" s="35" t="s">
        <v>33</v>
      </c>
      <c r="E21" s="35" t="s">
        <v>45</v>
      </c>
      <c r="F21" s="38" t="s">
        <v>77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78</v>
      </c>
      <c r="C22" s="35" t="s">
        <v>79</v>
      </c>
      <c r="D22" s="35"/>
      <c r="E22" s="35" t="s">
        <v>34</v>
      </c>
      <c r="F22" s="38" t="s">
        <v>80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81</v>
      </c>
      <c r="C23" s="35" t="s">
        <v>82</v>
      </c>
      <c r="D23" s="35"/>
      <c r="E23" s="35" t="s">
        <v>34</v>
      </c>
      <c r="F23" s="38" t="s">
        <v>83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84</v>
      </c>
      <c r="C24" s="35" t="s">
        <v>85</v>
      </c>
      <c r="D24" s="35"/>
      <c r="E24" s="35" t="s">
        <v>38</v>
      </c>
      <c r="F24" s="38" t="s">
        <v>86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87</v>
      </c>
      <c r="C25" s="35" t="s">
        <v>88</v>
      </c>
      <c r="D25" s="35"/>
      <c r="E25" s="35" t="s">
        <v>60</v>
      </c>
      <c r="F25" s="38" t="s">
        <v>89</v>
      </c>
      <c r="G25" s="39"/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90</v>
      </c>
      <c r="C26" s="35" t="s">
        <v>91</v>
      </c>
      <c r="D26" s="35"/>
      <c r="E26" s="35" t="s">
        <v>60</v>
      </c>
      <c r="F26" s="38" t="s">
        <v>92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93</v>
      </c>
      <c r="C27" s="35" t="s">
        <v>94</v>
      </c>
      <c r="D27" s="35"/>
      <c r="E27" s="35" t="s">
        <v>38</v>
      </c>
      <c r="F27" s="38" t="s">
        <v>95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96</v>
      </c>
      <c r="C28" s="35" t="s">
        <v>97</v>
      </c>
      <c r="D28" s="35"/>
      <c r="E28" s="35" t="s">
        <v>60</v>
      </c>
      <c r="F28" s="38" t="s">
        <v>98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99</v>
      </c>
      <c r="C29" s="35" t="s">
        <v>100</v>
      </c>
      <c r="D29" s="35" t="s">
        <v>33</v>
      </c>
      <c r="E29" s="35" t="s">
        <v>30</v>
      </c>
      <c r="F29" s="38" t="s">
        <v>101</v>
      </c>
      <c r="G29" s="39" t="s">
        <v>35</v>
      </c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102</v>
      </c>
      <c r="C30" s="35" t="s">
        <v>103</v>
      </c>
      <c r="D30" s="35"/>
      <c r="E30" s="35" t="s">
        <v>45</v>
      </c>
      <c r="F30" s="38" t="s">
        <v>104</v>
      </c>
      <c r="G30" s="39"/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105</v>
      </c>
      <c r="C31" s="35" t="s">
        <v>106</v>
      </c>
      <c r="D31" s="35"/>
      <c r="E31" s="35" t="s">
        <v>38</v>
      </c>
      <c r="F31" s="38" t="s">
        <v>107</v>
      </c>
      <c r="G31" s="39"/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108</v>
      </c>
      <c r="C32" s="35" t="s">
        <v>109</v>
      </c>
      <c r="D32" s="35"/>
      <c r="E32" s="35" t="s">
        <v>30</v>
      </c>
      <c r="F32" s="38" t="s">
        <v>110</v>
      </c>
      <c r="G32" s="39" t="s">
        <v>35</v>
      </c>
      <c r="H32" s="8"/>
      <c r="I32" s="23"/>
    </row>
    <row r="33" customFormat="false" ht="13.8" hidden="false" customHeight="false" outlineLevel="0" collapsed="false">
      <c r="A33" s="18" t="n">
        <v>14</v>
      </c>
      <c r="B33" s="35" t="s">
        <v>111</v>
      </c>
      <c r="C33" s="35" t="s">
        <v>112</v>
      </c>
      <c r="D33" s="35"/>
      <c r="E33" s="35" t="s">
        <v>45</v>
      </c>
      <c r="F33" s="38" t="s">
        <v>113</v>
      </c>
      <c r="G33" s="39"/>
      <c r="H33" s="8"/>
      <c r="I33" s="23"/>
    </row>
    <row r="34" customFormat="false" ht="13.8" hidden="false" customHeight="false" outlineLevel="0" collapsed="false">
      <c r="A34" s="18" t="n">
        <v>15</v>
      </c>
      <c r="B34" s="35" t="s">
        <v>114</v>
      </c>
      <c r="C34" s="35" t="s">
        <v>115</v>
      </c>
      <c r="D34" s="35"/>
      <c r="E34" s="35" t="s">
        <v>34</v>
      </c>
      <c r="F34" s="38" t="s">
        <v>116</v>
      </c>
      <c r="G34" s="39"/>
      <c r="H34" s="8"/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6">
      <formula>MOD(ROW(),2)=0</formula>
    </cfRule>
    <cfRule type="expression" priority="3" aboveAverage="0" equalAverage="0" bottom="0" percent="0" rank="0" text="" dxfId="7">
      <formula>MOD(ROW(),2)=1</formula>
    </cfRule>
  </conditionalFormatting>
  <conditionalFormatting sqref="C20">
    <cfRule type="expression" priority="4" aboveAverage="0" equalAverage="0" bottom="0" percent="0" rank="0" text="" dxfId="8">
      <formula>MOD(ROW(),2)=0</formula>
    </cfRule>
    <cfRule type="expression" priority="5" aboveAverage="0" equalAverage="0" bottom="0" percent="0" rank="0" text="" dxfId="9">
      <formula>MOD(ROW(),2)=1</formula>
    </cfRule>
  </conditionalFormatting>
  <conditionalFormatting sqref="B20:E40">
    <cfRule type="expression" priority="6" aboveAverage="0" equalAverage="0" bottom="0" percent="0" rank="0" text="" dxfId="10">
      <formula>MOD(ROW(),2)=0</formula>
    </cfRule>
    <cfRule type="expression" priority="7" aboveAverage="0" equalAverage="0" bottom="0" percent="0" rank="0" text="" dxfId="1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20.78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117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118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8447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4558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3786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772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0.539599857937729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6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119</v>
      </c>
      <c r="C20" s="35" t="s">
        <v>120</v>
      </c>
      <c r="D20" s="35"/>
      <c r="E20" s="35" t="s">
        <v>45</v>
      </c>
      <c r="F20" s="36" t="s">
        <v>121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122</v>
      </c>
      <c r="C21" s="35" t="s">
        <v>123</v>
      </c>
      <c r="D21" s="35"/>
      <c r="E21" s="35" t="s">
        <v>60</v>
      </c>
      <c r="F21" s="38" t="s">
        <v>124</v>
      </c>
      <c r="G21" s="39" t="s">
        <v>35</v>
      </c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125</v>
      </c>
      <c r="C22" s="35" t="s">
        <v>126</v>
      </c>
      <c r="D22" s="35"/>
      <c r="E22" s="35" t="s">
        <v>38</v>
      </c>
      <c r="F22" s="38" t="s">
        <v>127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128</v>
      </c>
      <c r="C23" s="35" t="s">
        <v>129</v>
      </c>
      <c r="D23" s="35" t="s">
        <v>33</v>
      </c>
      <c r="E23" s="35" t="s">
        <v>30</v>
      </c>
      <c r="F23" s="38" t="s">
        <v>130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131</v>
      </c>
      <c r="C24" s="35" t="s">
        <v>132</v>
      </c>
      <c r="D24" s="35"/>
      <c r="E24" s="35" t="s">
        <v>38</v>
      </c>
      <c r="F24" s="38" t="s">
        <v>133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134</v>
      </c>
      <c r="C25" s="35" t="s">
        <v>135</v>
      </c>
      <c r="D25" s="35"/>
      <c r="E25" s="35" t="s">
        <v>34</v>
      </c>
      <c r="F25" s="38" t="s">
        <v>136</v>
      </c>
      <c r="G25" s="39"/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137</v>
      </c>
      <c r="C26" s="35" t="s">
        <v>138</v>
      </c>
      <c r="D26" s="35"/>
      <c r="E26" s="35" t="s">
        <v>45</v>
      </c>
      <c r="F26" s="38" t="s">
        <v>139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140</v>
      </c>
      <c r="C27" s="35" t="s">
        <v>141</v>
      </c>
      <c r="D27" s="35"/>
      <c r="E27" s="35" t="s">
        <v>30</v>
      </c>
      <c r="F27" s="38" t="s">
        <v>142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143</v>
      </c>
      <c r="C28" s="35" t="s">
        <v>144</v>
      </c>
      <c r="D28" s="35"/>
      <c r="E28" s="35" t="s">
        <v>60</v>
      </c>
      <c r="F28" s="38" t="s">
        <v>145</v>
      </c>
      <c r="G28" s="39" t="s">
        <v>35</v>
      </c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146</v>
      </c>
      <c r="C29" s="35" t="s">
        <v>147</v>
      </c>
      <c r="D29" s="35"/>
      <c r="E29" s="35" t="s">
        <v>34</v>
      </c>
      <c r="F29" s="38" t="s">
        <v>148</v>
      </c>
      <c r="G29" s="39"/>
      <c r="H29" s="8"/>
      <c r="I29" s="23"/>
    </row>
    <row r="30" customFormat="false" ht="13.8" hidden="false" customHeight="false" outlineLevel="0" collapsed="false">
      <c r="A30" s="18" t="n">
        <v>11</v>
      </c>
      <c r="B30" s="40"/>
      <c r="C30" s="41"/>
      <c r="D30" s="41"/>
      <c r="E30" s="38"/>
      <c r="F30" s="38"/>
      <c r="G30" s="38"/>
      <c r="H30" s="8" t="s">
        <v>149</v>
      </c>
      <c r="I30" s="23"/>
    </row>
    <row r="31" customFormat="false" ht="13.8" hidden="false" customHeight="false" outlineLevel="0" collapsed="false">
      <c r="A31" s="18" t="n">
        <v>12</v>
      </c>
      <c r="B31" s="40"/>
      <c r="C31" s="41"/>
      <c r="D31" s="41"/>
      <c r="E31" s="38"/>
      <c r="F31" s="38"/>
      <c r="G31" s="38"/>
      <c r="H31" s="8" t="s">
        <v>150</v>
      </c>
      <c r="I31" s="23"/>
    </row>
    <row r="32" customFormat="false" ht="13.8" hidden="false" customHeight="false" outlineLevel="0" collapsed="false">
      <c r="A32" s="18" t="n">
        <v>13</v>
      </c>
      <c r="B32" s="40"/>
      <c r="C32" s="41"/>
      <c r="D32" s="41"/>
      <c r="E32" s="38"/>
      <c r="F32" s="38"/>
      <c r="G32" s="38"/>
      <c r="H32" s="8" t="s">
        <v>151</v>
      </c>
      <c r="I32" s="23"/>
    </row>
    <row r="33" customFormat="false" ht="13.8" hidden="false" customHeight="false" outlineLevel="0" collapsed="false">
      <c r="A33" s="18" t="n">
        <v>14</v>
      </c>
      <c r="B33" s="40"/>
      <c r="C33" s="41"/>
      <c r="D33" s="41"/>
      <c r="E33" s="38"/>
      <c r="F33" s="38"/>
      <c r="G33" s="38"/>
      <c r="H33" s="8" t="s">
        <v>152</v>
      </c>
      <c r="I33" s="23"/>
    </row>
    <row r="34" customFormat="false" ht="13.8" hidden="false" customHeight="false" outlineLevel="0" collapsed="false">
      <c r="A34" s="18" t="n">
        <v>15</v>
      </c>
      <c r="B34" s="40"/>
      <c r="C34" s="41"/>
      <c r="D34" s="41"/>
      <c r="E34" s="38"/>
      <c r="F34" s="38"/>
      <c r="G34" s="38"/>
      <c r="H34" s="8" t="s">
        <v>153</v>
      </c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12">
      <formula>MOD(ROW(),2)=0</formula>
    </cfRule>
    <cfRule type="expression" priority="3" aboveAverage="0" equalAverage="0" bottom="0" percent="0" rank="0" text="" dxfId="13">
      <formula>MOD(ROW(),2)=1</formula>
    </cfRule>
  </conditionalFormatting>
  <conditionalFormatting sqref="C20">
    <cfRule type="expression" priority="4" aboveAverage="0" equalAverage="0" bottom="0" percent="0" rank="0" text="" dxfId="14">
      <formula>MOD(ROW(),2)=0</formula>
    </cfRule>
    <cfRule type="expression" priority="5" aboveAverage="0" equalAverage="0" bottom="0" percent="0" rank="0" text="" dxfId="15">
      <formula>MOD(ROW(),2)=1</formula>
    </cfRule>
  </conditionalFormatting>
  <conditionalFormatting sqref="B20:E40">
    <cfRule type="expression" priority="6" aboveAverage="0" equalAverage="0" bottom="0" percent="0" rank="0" text="" dxfId="16">
      <formula>MOD(ROW(),2)=0</formula>
    </cfRule>
    <cfRule type="expression" priority="7" aboveAverage="0" equalAverage="0" bottom="0" percent="0" rank="0" text="" dxfId="1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4" activeCellId="0" sqref="D44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154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14064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6624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5286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1338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0.47098976109215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8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0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1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7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155</v>
      </c>
      <c r="C20" s="35" t="s">
        <v>156</v>
      </c>
      <c r="D20" s="35"/>
      <c r="E20" s="35" t="s">
        <v>34</v>
      </c>
      <c r="F20" s="36" t="s">
        <v>157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158</v>
      </c>
      <c r="C21" s="35" t="s">
        <v>159</v>
      </c>
      <c r="D21" s="35"/>
      <c r="E21" s="35" t="s">
        <v>34</v>
      </c>
      <c r="F21" s="38" t="s">
        <v>160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161</v>
      </c>
      <c r="C22" s="35" t="s">
        <v>162</v>
      </c>
      <c r="D22" s="35"/>
      <c r="E22" s="35" t="s">
        <v>60</v>
      </c>
      <c r="F22" s="38" t="s">
        <v>163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164</v>
      </c>
      <c r="C23" s="35" t="s">
        <v>165</v>
      </c>
      <c r="D23" s="35" t="s">
        <v>33</v>
      </c>
      <c r="E23" s="35" t="s">
        <v>60</v>
      </c>
      <c r="F23" s="38" t="s">
        <v>166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167</v>
      </c>
      <c r="C24" s="35" t="s">
        <v>168</v>
      </c>
      <c r="D24" s="35"/>
      <c r="E24" s="35" t="s">
        <v>45</v>
      </c>
      <c r="F24" s="38" t="s">
        <v>169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170</v>
      </c>
      <c r="C25" s="35" t="s">
        <v>171</v>
      </c>
      <c r="D25" s="35"/>
      <c r="E25" s="35" t="s">
        <v>30</v>
      </c>
      <c r="F25" s="38" t="s">
        <v>172</v>
      </c>
      <c r="G25" s="39" t="s">
        <v>35</v>
      </c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173</v>
      </c>
      <c r="C26" s="35" t="s">
        <v>174</v>
      </c>
      <c r="D26" s="35"/>
      <c r="E26" s="35" t="s">
        <v>30</v>
      </c>
      <c r="F26" s="38" t="s">
        <v>175</v>
      </c>
      <c r="G26" s="39" t="s">
        <v>35</v>
      </c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176</v>
      </c>
      <c r="C27" s="35" t="s">
        <v>177</v>
      </c>
      <c r="D27" s="35" t="s">
        <v>33</v>
      </c>
      <c r="E27" s="35" t="s">
        <v>45</v>
      </c>
      <c r="F27" s="38" t="s">
        <v>178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179</v>
      </c>
      <c r="C28" s="35" t="s">
        <v>180</v>
      </c>
      <c r="D28" s="35" t="s">
        <v>33</v>
      </c>
      <c r="E28" s="35" t="s">
        <v>38</v>
      </c>
      <c r="F28" s="38" t="s">
        <v>181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182</v>
      </c>
      <c r="C29" s="35" t="s">
        <v>183</v>
      </c>
      <c r="D29" s="35"/>
      <c r="E29" s="35" t="s">
        <v>30</v>
      </c>
      <c r="F29" s="38" t="s">
        <v>184</v>
      </c>
      <c r="G29" s="39" t="s">
        <v>35</v>
      </c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185</v>
      </c>
      <c r="C30" s="35" t="s">
        <v>186</v>
      </c>
      <c r="D30" s="35" t="s">
        <v>33</v>
      </c>
      <c r="E30" s="35" t="s">
        <v>45</v>
      </c>
      <c r="F30" s="38" t="s">
        <v>187</v>
      </c>
      <c r="G30" s="39"/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188</v>
      </c>
      <c r="C31" s="35" t="s">
        <v>189</v>
      </c>
      <c r="D31" s="35"/>
      <c r="E31" s="35" t="s">
        <v>38</v>
      </c>
      <c r="F31" s="38" t="s">
        <v>190</v>
      </c>
      <c r="G31" s="39"/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191</v>
      </c>
      <c r="C32" s="35" t="s">
        <v>192</v>
      </c>
      <c r="D32" s="35"/>
      <c r="E32" s="35" t="s">
        <v>60</v>
      </c>
      <c r="F32" s="38" t="s">
        <v>193</v>
      </c>
      <c r="G32" s="39"/>
      <c r="H32" s="8"/>
      <c r="I32" s="23"/>
    </row>
    <row r="33" customFormat="false" ht="13.8" hidden="false" customHeight="false" outlineLevel="0" collapsed="false">
      <c r="A33" s="18" t="n">
        <v>14</v>
      </c>
      <c r="B33" s="35" t="s">
        <v>194</v>
      </c>
      <c r="C33" s="35" t="s">
        <v>195</v>
      </c>
      <c r="D33" s="35"/>
      <c r="E33" s="35" t="s">
        <v>34</v>
      </c>
      <c r="F33" s="38" t="s">
        <v>196</v>
      </c>
      <c r="G33" s="39"/>
      <c r="H33" s="8"/>
      <c r="I33" s="23"/>
    </row>
    <row r="34" customFormat="false" ht="13.8" hidden="false" customHeight="false" outlineLevel="0" collapsed="false">
      <c r="A34" s="18" t="n">
        <v>15</v>
      </c>
      <c r="B34" s="35" t="s">
        <v>197</v>
      </c>
      <c r="C34" s="35" t="s">
        <v>198</v>
      </c>
      <c r="D34" s="35" t="s">
        <v>33</v>
      </c>
      <c r="E34" s="35" t="s">
        <v>38</v>
      </c>
      <c r="F34" s="38" t="s">
        <v>199</v>
      </c>
      <c r="G34" s="39"/>
      <c r="H34" s="8"/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18">
      <formula>MOD(ROW(),2)=0</formula>
    </cfRule>
    <cfRule type="expression" priority="3" aboveAverage="0" equalAverage="0" bottom="0" percent="0" rank="0" text="" dxfId="19">
      <formula>MOD(ROW(),2)=1</formula>
    </cfRule>
  </conditionalFormatting>
  <conditionalFormatting sqref="C20">
    <cfRule type="expression" priority="4" aboveAverage="0" equalAverage="0" bottom="0" percent="0" rank="0" text="" dxfId="20">
      <formula>MOD(ROW(),2)=0</formula>
    </cfRule>
    <cfRule type="expression" priority="5" aboveAverage="0" equalAverage="0" bottom="0" percent="0" rank="0" text="" dxfId="21">
      <formula>MOD(ROW(),2)=1</formula>
    </cfRule>
  </conditionalFormatting>
  <conditionalFormatting sqref="B20:E40">
    <cfRule type="expression" priority="6" aboveAverage="0" equalAverage="0" bottom="0" percent="0" rank="0" text="" dxfId="22">
      <formula>MOD(ROW(),2)=0</formula>
    </cfRule>
    <cfRule type="expression" priority="7" aboveAverage="0" equalAverage="0" bottom="0" percent="0" rank="0" text="" dxfId="2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200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11322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5260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4063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1197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0.464582229288112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9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5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4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201</v>
      </c>
      <c r="C20" s="35" t="s">
        <v>202</v>
      </c>
      <c r="D20" s="35"/>
      <c r="E20" s="35" t="s">
        <v>38</v>
      </c>
      <c r="F20" s="36" t="s">
        <v>203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204</v>
      </c>
      <c r="C21" s="35" t="s">
        <v>205</v>
      </c>
      <c r="D21" s="35" t="s">
        <v>33</v>
      </c>
      <c r="E21" s="35" t="s">
        <v>38</v>
      </c>
      <c r="F21" s="38" t="s">
        <v>206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207</v>
      </c>
      <c r="C22" s="35" t="s">
        <v>208</v>
      </c>
      <c r="D22" s="35" t="s">
        <v>33</v>
      </c>
      <c r="E22" s="35" t="s">
        <v>45</v>
      </c>
      <c r="F22" s="38" t="s">
        <v>209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210</v>
      </c>
      <c r="C23" s="35" t="s">
        <v>211</v>
      </c>
      <c r="D23" s="35"/>
      <c r="E23" s="35" t="s">
        <v>45</v>
      </c>
      <c r="F23" s="38" t="s">
        <v>212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213</v>
      </c>
      <c r="C24" s="35" t="s">
        <v>214</v>
      </c>
      <c r="D24" s="35"/>
      <c r="E24" s="35" t="s">
        <v>30</v>
      </c>
      <c r="F24" s="38" t="s">
        <v>215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216</v>
      </c>
      <c r="C25" s="35" t="s">
        <v>217</v>
      </c>
      <c r="D25" s="35"/>
      <c r="E25" s="35" t="s">
        <v>34</v>
      </c>
      <c r="F25" s="38" t="s">
        <v>218</v>
      </c>
      <c r="G25" s="39" t="s">
        <v>35</v>
      </c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219</v>
      </c>
      <c r="C26" s="35" t="s">
        <v>220</v>
      </c>
      <c r="D26" s="35"/>
      <c r="E26" s="35" t="s">
        <v>60</v>
      </c>
      <c r="F26" s="38" t="s">
        <v>221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222</v>
      </c>
      <c r="C27" s="35" t="s">
        <v>223</v>
      </c>
      <c r="D27" s="35"/>
      <c r="E27" s="35" t="s">
        <v>60</v>
      </c>
      <c r="F27" s="38" t="s">
        <v>224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225</v>
      </c>
      <c r="C28" s="35" t="s">
        <v>226</v>
      </c>
      <c r="D28" s="35" t="s">
        <v>33</v>
      </c>
      <c r="E28" s="35" t="s">
        <v>227</v>
      </c>
      <c r="F28" s="38" t="s">
        <v>228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229</v>
      </c>
      <c r="C29" s="35" t="s">
        <v>230</v>
      </c>
      <c r="D29" s="35"/>
      <c r="E29" s="35" t="s">
        <v>30</v>
      </c>
      <c r="F29" s="38" t="s">
        <v>231</v>
      </c>
      <c r="G29" s="39"/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232</v>
      </c>
      <c r="C30" s="35" t="s">
        <v>233</v>
      </c>
      <c r="D30" s="35" t="s">
        <v>33</v>
      </c>
      <c r="E30" s="35" t="s">
        <v>227</v>
      </c>
      <c r="F30" s="38" t="s">
        <v>234</v>
      </c>
      <c r="G30" s="39"/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235</v>
      </c>
      <c r="C31" s="35" t="s">
        <v>236</v>
      </c>
      <c r="D31" s="35" t="s">
        <v>33</v>
      </c>
      <c r="E31" s="35" t="s">
        <v>34</v>
      </c>
      <c r="F31" s="38" t="s">
        <v>237</v>
      </c>
      <c r="G31" s="39" t="s">
        <v>35</v>
      </c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238</v>
      </c>
      <c r="C32" s="35" t="s">
        <v>239</v>
      </c>
      <c r="D32" s="35"/>
      <c r="E32" s="35" t="s">
        <v>30</v>
      </c>
      <c r="F32" s="38" t="s">
        <v>240</v>
      </c>
      <c r="G32" s="39"/>
      <c r="H32" s="8"/>
      <c r="I32" s="23"/>
    </row>
    <row r="33" customFormat="false" ht="13.8" hidden="false" customHeight="false" outlineLevel="0" collapsed="false">
      <c r="A33" s="18" t="n">
        <v>14</v>
      </c>
      <c r="B33" s="35" t="s">
        <v>241</v>
      </c>
      <c r="C33" s="35" t="s">
        <v>242</v>
      </c>
      <c r="D33" s="35" t="s">
        <v>33</v>
      </c>
      <c r="E33" s="35" t="s">
        <v>60</v>
      </c>
      <c r="F33" s="38" t="s">
        <v>243</v>
      </c>
      <c r="G33" s="39"/>
      <c r="H33" s="8"/>
      <c r="I33" s="23"/>
    </row>
    <row r="34" customFormat="false" ht="13.8" hidden="false" customHeight="false" outlineLevel="0" collapsed="false">
      <c r="A34" s="18" t="n">
        <v>15</v>
      </c>
      <c r="B34" s="35" t="s">
        <v>244</v>
      </c>
      <c r="C34" s="35" t="s">
        <v>245</v>
      </c>
      <c r="D34" s="35"/>
      <c r="E34" s="35" t="s">
        <v>227</v>
      </c>
      <c r="F34" s="38" t="s">
        <v>246</v>
      </c>
      <c r="G34" s="39"/>
      <c r="H34" s="8"/>
      <c r="I34" s="23"/>
    </row>
    <row r="35" customFormat="false" ht="13.8" hidden="false" customHeight="false" outlineLevel="0" collapsed="false">
      <c r="A35" s="18" t="n">
        <v>16</v>
      </c>
      <c r="B35" s="35" t="s">
        <v>247</v>
      </c>
      <c r="C35" s="35" t="s">
        <v>248</v>
      </c>
      <c r="D35" s="35"/>
      <c r="E35" s="35" t="s">
        <v>34</v>
      </c>
      <c r="F35" s="38" t="s">
        <v>249</v>
      </c>
      <c r="G35" s="39" t="s">
        <v>35</v>
      </c>
      <c r="H35" s="8"/>
      <c r="I35" s="23"/>
    </row>
    <row r="36" customFormat="false" ht="13.8" hidden="false" customHeight="false" outlineLevel="0" collapsed="false">
      <c r="A36" s="18" t="n">
        <v>17</v>
      </c>
      <c r="B36" s="35" t="s">
        <v>250</v>
      </c>
      <c r="C36" s="35" t="s">
        <v>251</v>
      </c>
      <c r="D36" s="35"/>
      <c r="E36" s="35" t="s">
        <v>38</v>
      </c>
      <c r="F36" s="38" t="s">
        <v>252</v>
      </c>
      <c r="G36" s="39"/>
      <c r="H36" s="8"/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24">
      <formula>MOD(ROW(),2)=0</formula>
    </cfRule>
    <cfRule type="expression" priority="3" aboveAverage="0" equalAverage="0" bottom="0" percent="0" rank="0" text="" dxfId="25">
      <formula>MOD(ROW(),2)=1</formula>
    </cfRule>
  </conditionalFormatting>
  <conditionalFormatting sqref="C20">
    <cfRule type="expression" priority="4" aboveAverage="0" equalAverage="0" bottom="0" percent="0" rank="0" text="" dxfId="26">
      <formula>MOD(ROW(),2)=0</formula>
    </cfRule>
    <cfRule type="expression" priority="5" aboveAverage="0" equalAverage="0" bottom="0" percent="0" rank="0" text="" dxfId="27">
      <formula>MOD(ROW(),2)=1</formula>
    </cfRule>
  </conditionalFormatting>
  <conditionalFormatting sqref="B20:E40">
    <cfRule type="expression" priority="6" aboveAverage="0" equalAverage="0" bottom="0" percent="0" rank="0" text="" dxfId="28">
      <formula>MOD(ROW(),2)=0</formula>
    </cfRule>
    <cfRule type="expression" priority="7" aboveAverage="0" equalAverage="0" bottom="0" percent="0" rank="0" text="" dxfId="2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4" activeCellId="0" sqref="E44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253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118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8909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5226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4120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1106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0.58659782242676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9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254</v>
      </c>
      <c r="C20" s="35" t="s">
        <v>255</v>
      </c>
      <c r="D20" s="35"/>
      <c r="E20" s="35" t="s">
        <v>30</v>
      </c>
      <c r="F20" s="36" t="s">
        <v>256</v>
      </c>
      <c r="G20" s="37" t="s">
        <v>35</v>
      </c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257</v>
      </c>
      <c r="C21" s="35" t="s">
        <v>258</v>
      </c>
      <c r="D21" s="35"/>
      <c r="E21" s="35" t="s">
        <v>60</v>
      </c>
      <c r="F21" s="38" t="s">
        <v>259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260</v>
      </c>
      <c r="C22" s="35" t="s">
        <v>261</v>
      </c>
      <c r="D22" s="35"/>
      <c r="E22" s="35" t="s">
        <v>60</v>
      </c>
      <c r="F22" s="38" t="s">
        <v>262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263</v>
      </c>
      <c r="C23" s="35" t="s">
        <v>264</v>
      </c>
      <c r="D23" s="35"/>
      <c r="E23" s="35" t="s">
        <v>30</v>
      </c>
      <c r="F23" s="38" t="s">
        <v>265</v>
      </c>
      <c r="G23" s="39" t="s">
        <v>35</v>
      </c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266</v>
      </c>
      <c r="C24" s="35" t="s">
        <v>267</v>
      </c>
      <c r="D24" s="35"/>
      <c r="E24" s="35" t="s">
        <v>45</v>
      </c>
      <c r="F24" s="38" t="s">
        <v>268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269</v>
      </c>
      <c r="C25" s="35" t="s">
        <v>270</v>
      </c>
      <c r="D25" s="35"/>
      <c r="E25" s="35" t="s">
        <v>34</v>
      </c>
      <c r="F25" s="38" t="s">
        <v>271</v>
      </c>
      <c r="G25" s="39"/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272</v>
      </c>
      <c r="C26" s="35" t="s">
        <v>273</v>
      </c>
      <c r="D26" s="35" t="s">
        <v>33</v>
      </c>
      <c r="E26" s="35" t="s">
        <v>38</v>
      </c>
      <c r="F26" s="38" t="s">
        <v>274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275</v>
      </c>
      <c r="C27" s="35" t="s">
        <v>276</v>
      </c>
      <c r="D27" s="35"/>
      <c r="E27" s="35" t="s">
        <v>38</v>
      </c>
      <c r="F27" s="38" t="s">
        <v>277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278</v>
      </c>
      <c r="C28" s="35" t="s">
        <v>279</v>
      </c>
      <c r="D28" s="35"/>
      <c r="E28" s="35" t="s">
        <v>34</v>
      </c>
      <c r="F28" s="38" t="s">
        <v>280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40"/>
      <c r="C29" s="41"/>
      <c r="D29" s="41"/>
      <c r="E29" s="38"/>
      <c r="F29" s="38"/>
      <c r="G29" s="38"/>
      <c r="H29" s="8" t="s">
        <v>281</v>
      </c>
      <c r="I29" s="23"/>
    </row>
    <row r="30" customFormat="false" ht="13.8" hidden="false" customHeight="false" outlineLevel="0" collapsed="false">
      <c r="A30" s="18" t="n">
        <v>11</v>
      </c>
      <c r="B30" s="40"/>
      <c r="C30" s="41"/>
      <c r="D30" s="41"/>
      <c r="E30" s="38"/>
      <c r="F30" s="38"/>
      <c r="G30" s="38"/>
      <c r="H30" s="8" t="s">
        <v>149</v>
      </c>
      <c r="I30" s="23"/>
    </row>
    <row r="31" customFormat="false" ht="13.8" hidden="false" customHeight="false" outlineLevel="0" collapsed="false">
      <c r="A31" s="18" t="n">
        <v>12</v>
      </c>
      <c r="B31" s="40"/>
      <c r="C31" s="41"/>
      <c r="D31" s="41"/>
      <c r="E31" s="38"/>
      <c r="F31" s="38"/>
      <c r="G31" s="38"/>
      <c r="H31" s="8" t="s">
        <v>150</v>
      </c>
      <c r="I31" s="23"/>
    </row>
    <row r="32" customFormat="false" ht="13.8" hidden="false" customHeight="false" outlineLevel="0" collapsed="false">
      <c r="A32" s="18" t="n">
        <v>13</v>
      </c>
      <c r="B32" s="40"/>
      <c r="C32" s="41"/>
      <c r="D32" s="41"/>
      <c r="E32" s="38"/>
      <c r="F32" s="38"/>
      <c r="G32" s="38"/>
      <c r="H32" s="8" t="s">
        <v>151</v>
      </c>
      <c r="I32" s="23"/>
    </row>
    <row r="33" customFormat="false" ht="13.8" hidden="false" customHeight="false" outlineLevel="0" collapsed="false">
      <c r="A33" s="18" t="n">
        <v>14</v>
      </c>
      <c r="B33" s="40"/>
      <c r="C33" s="41"/>
      <c r="D33" s="41"/>
      <c r="E33" s="38"/>
      <c r="F33" s="38"/>
      <c r="G33" s="38"/>
      <c r="H33" s="8" t="s">
        <v>152</v>
      </c>
      <c r="I33" s="23"/>
    </row>
    <row r="34" customFormat="false" ht="13.8" hidden="false" customHeight="false" outlineLevel="0" collapsed="false">
      <c r="A34" s="18" t="n">
        <v>15</v>
      </c>
      <c r="B34" s="40"/>
      <c r="C34" s="41"/>
      <c r="D34" s="41"/>
      <c r="E34" s="38"/>
      <c r="F34" s="38"/>
      <c r="G34" s="38"/>
      <c r="H34" s="8" t="s">
        <v>153</v>
      </c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30">
      <formula>MOD(ROW(),2)=0</formula>
    </cfRule>
    <cfRule type="expression" priority="3" aboveAverage="0" equalAverage="0" bottom="0" percent="0" rank="0" text="" dxfId="31">
      <formula>MOD(ROW(),2)=1</formula>
    </cfRule>
  </conditionalFormatting>
  <conditionalFormatting sqref="C20">
    <cfRule type="expression" priority="4" aboveAverage="0" equalAverage="0" bottom="0" percent="0" rank="0" text="" dxfId="32">
      <formula>MOD(ROW(),2)=0</formula>
    </cfRule>
    <cfRule type="expression" priority="5" aboveAverage="0" equalAverage="0" bottom="0" percent="0" rank="0" text="" dxfId="33">
      <formula>MOD(ROW(),2)=1</formula>
    </cfRule>
  </conditionalFormatting>
  <conditionalFormatting sqref="B20:E40">
    <cfRule type="expression" priority="6" aboveAverage="0" equalAverage="0" bottom="0" percent="0" rank="0" text="" dxfId="34">
      <formula>MOD(ROW(),2)=0</formula>
    </cfRule>
    <cfRule type="expression" priority="7" aboveAverage="0" equalAverage="0" bottom="0" percent="0" rank="0" text="" dxfId="3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5" activeCellId="0" sqref="D45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282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11704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5952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4450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1502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0.508544087491456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8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283</v>
      </c>
      <c r="C20" s="35" t="s">
        <v>284</v>
      </c>
      <c r="D20" s="35"/>
      <c r="E20" s="35" t="s">
        <v>38</v>
      </c>
      <c r="F20" s="36" t="s">
        <v>285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286</v>
      </c>
      <c r="C21" s="35" t="s">
        <v>287</v>
      </c>
      <c r="D21" s="35" t="s">
        <v>33</v>
      </c>
      <c r="E21" s="35" t="s">
        <v>34</v>
      </c>
      <c r="F21" s="38" t="s">
        <v>288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289</v>
      </c>
      <c r="C22" s="35" t="s">
        <v>290</v>
      </c>
      <c r="D22" s="35"/>
      <c r="E22" s="35" t="s">
        <v>30</v>
      </c>
      <c r="F22" s="38" t="s">
        <v>291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292</v>
      </c>
      <c r="C23" s="35" t="s">
        <v>293</v>
      </c>
      <c r="D23" s="35"/>
      <c r="E23" s="35" t="s">
        <v>38</v>
      </c>
      <c r="F23" s="38" t="s">
        <v>294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295</v>
      </c>
      <c r="C24" s="35" t="s">
        <v>296</v>
      </c>
      <c r="D24" s="35"/>
      <c r="E24" s="35" t="s">
        <v>60</v>
      </c>
      <c r="F24" s="38" t="s">
        <v>297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298</v>
      </c>
      <c r="C25" s="35" t="s">
        <v>299</v>
      </c>
      <c r="D25" s="35"/>
      <c r="E25" s="35" t="s">
        <v>300</v>
      </c>
      <c r="F25" s="38" t="s">
        <v>301</v>
      </c>
      <c r="G25" s="39" t="s">
        <v>35</v>
      </c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143</v>
      </c>
      <c r="C26" s="35" t="s">
        <v>302</v>
      </c>
      <c r="D26" s="35"/>
      <c r="E26" s="35" t="s">
        <v>60</v>
      </c>
      <c r="F26" s="38" t="s">
        <v>303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304</v>
      </c>
      <c r="C27" s="35" t="s">
        <v>305</v>
      </c>
      <c r="D27" s="35"/>
      <c r="E27" s="35" t="s">
        <v>34</v>
      </c>
      <c r="F27" s="38" t="s">
        <v>306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307</v>
      </c>
      <c r="C28" s="35" t="s">
        <v>308</v>
      </c>
      <c r="D28" s="35" t="s">
        <v>33</v>
      </c>
      <c r="E28" s="35" t="s">
        <v>34</v>
      </c>
      <c r="F28" s="38" t="s">
        <v>309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310</v>
      </c>
      <c r="C29" s="35" t="s">
        <v>311</v>
      </c>
      <c r="D29" s="35"/>
      <c r="E29" s="35" t="s">
        <v>38</v>
      </c>
      <c r="F29" s="38" t="s">
        <v>312</v>
      </c>
      <c r="G29" s="39"/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108</v>
      </c>
      <c r="C30" s="35" t="s">
        <v>313</v>
      </c>
      <c r="D30" s="35"/>
      <c r="E30" s="35" t="s">
        <v>300</v>
      </c>
      <c r="F30" s="38" t="s">
        <v>314</v>
      </c>
      <c r="G30" s="39" t="s">
        <v>35</v>
      </c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315</v>
      </c>
      <c r="C31" s="35" t="s">
        <v>316</v>
      </c>
      <c r="D31" s="35" t="s">
        <v>33</v>
      </c>
      <c r="E31" s="35" t="s">
        <v>300</v>
      </c>
      <c r="F31" s="38" t="s">
        <v>317</v>
      </c>
      <c r="G31" s="39" t="s">
        <v>35</v>
      </c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318</v>
      </c>
      <c r="C32" s="35" t="s">
        <v>319</v>
      </c>
      <c r="D32" s="35"/>
      <c r="E32" s="35" t="s">
        <v>30</v>
      </c>
      <c r="F32" s="38" t="s">
        <v>320</v>
      </c>
      <c r="G32" s="39"/>
      <c r="H32" s="8"/>
      <c r="I32" s="23"/>
    </row>
    <row r="33" customFormat="false" ht="13.8" hidden="false" customHeight="false" outlineLevel="0" collapsed="false">
      <c r="A33" s="18" t="n">
        <v>14</v>
      </c>
      <c r="B33" s="35" t="s">
        <v>321</v>
      </c>
      <c r="C33" s="35" t="s">
        <v>322</v>
      </c>
      <c r="D33" s="35"/>
      <c r="E33" s="35" t="s">
        <v>30</v>
      </c>
      <c r="F33" s="38" t="s">
        <v>323</v>
      </c>
      <c r="G33" s="39"/>
      <c r="H33" s="8"/>
      <c r="I33" s="23"/>
    </row>
    <row r="34" customFormat="false" ht="13.8" hidden="false" customHeight="false" outlineLevel="0" collapsed="false">
      <c r="A34" s="18" t="n">
        <v>15</v>
      </c>
      <c r="B34" s="35" t="s">
        <v>324</v>
      </c>
      <c r="C34" s="35" t="s">
        <v>325</v>
      </c>
      <c r="D34" s="35"/>
      <c r="E34" s="35" t="s">
        <v>60</v>
      </c>
      <c r="F34" s="38" t="s">
        <v>326</v>
      </c>
      <c r="G34" s="39"/>
      <c r="H34" s="8"/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36">
      <formula>MOD(ROW(),2)=0</formula>
    </cfRule>
    <cfRule type="expression" priority="3" aboveAverage="0" equalAverage="0" bottom="0" percent="0" rank="0" text="" dxfId="37">
      <formula>MOD(ROW(),2)=1</formula>
    </cfRule>
  </conditionalFormatting>
  <conditionalFormatting sqref="C20">
    <cfRule type="expression" priority="4" aboveAverage="0" equalAverage="0" bottom="0" percent="0" rank="0" text="" dxfId="38">
      <formula>MOD(ROW(),2)=0</formula>
    </cfRule>
    <cfRule type="expression" priority="5" aboveAverage="0" equalAverage="0" bottom="0" percent="0" rank="0" text="" dxfId="39">
      <formula>MOD(ROW(),2)=1</formula>
    </cfRule>
  </conditionalFormatting>
  <conditionalFormatting sqref="B20:E40">
    <cfRule type="expression" priority="6" aboveAverage="0" equalAverage="0" bottom="0" percent="0" rank="0" text="" dxfId="40">
      <formula>MOD(ROW(),2)=0</formula>
    </cfRule>
    <cfRule type="expression" priority="7" aboveAverage="0" equalAverage="0" bottom="0" percent="0" rank="0" text="" dxfId="4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2" activeCellId="0" sqref="D42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327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12848</v>
      </c>
      <c r="H7" s="42" t="n">
        <v>11704</v>
      </c>
      <c r="I7" s="42" t="n">
        <v>11704</v>
      </c>
      <c r="J7" s="42" t="n">
        <v>11704</v>
      </c>
      <c r="K7" s="42" t="n">
        <v>11704</v>
      </c>
      <c r="L7" s="42" t="n">
        <v>11704</v>
      </c>
      <c r="M7" s="42" t="n">
        <v>11704</v>
      </c>
      <c r="N7" s="42" t="n">
        <v>11704</v>
      </c>
      <c r="O7" s="42" t="n">
        <v>11704</v>
      </c>
      <c r="P7" s="42" t="n">
        <v>11704</v>
      </c>
      <c r="Q7" s="42" t="n">
        <v>11704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6660</v>
      </c>
      <c r="H8" s="43" t="n">
        <v>5952</v>
      </c>
      <c r="I8" s="43" t="n">
        <v>5952</v>
      </c>
      <c r="J8" s="43" t="n">
        <v>5952</v>
      </c>
      <c r="K8" s="43" t="n">
        <v>5952</v>
      </c>
      <c r="L8" s="43" t="n">
        <v>5952</v>
      </c>
      <c r="M8" s="43" t="n">
        <v>5952</v>
      </c>
      <c r="N8" s="43" t="n">
        <v>5952</v>
      </c>
      <c r="O8" s="43" t="n">
        <v>5952</v>
      </c>
      <c r="P8" s="43" t="n">
        <v>5952</v>
      </c>
      <c r="Q8" s="43" t="n">
        <v>5952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5564</v>
      </c>
      <c r="H9" s="43" t="n">
        <f aca="false">H8-H10</f>
        <v>4450</v>
      </c>
      <c r="I9" s="43" t="n">
        <f aca="false">I8-I10</f>
        <v>4450</v>
      </c>
      <c r="J9" s="43" t="n">
        <f aca="false">J8-J10</f>
        <v>4450</v>
      </c>
      <c r="K9" s="43" t="n">
        <f aca="false">K8-K10</f>
        <v>4450</v>
      </c>
      <c r="L9" s="43" t="n">
        <f aca="false">L8-L10</f>
        <v>4450</v>
      </c>
      <c r="M9" s="43" t="n">
        <f aca="false">M8-M10</f>
        <v>4450</v>
      </c>
      <c r="N9" s="43" t="n">
        <f aca="false">N8-N10</f>
        <v>4450</v>
      </c>
      <c r="O9" s="43" t="n">
        <f aca="false">O8-O10</f>
        <v>4450</v>
      </c>
      <c r="P9" s="43" t="n">
        <f aca="false">P8-P10</f>
        <v>4450</v>
      </c>
      <c r="Q9" s="43" t="n">
        <f aca="false">Q8-Q10</f>
        <v>4450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1096</v>
      </c>
      <c r="H10" s="44" t="n">
        <v>1502</v>
      </c>
      <c r="I10" s="44" t="n">
        <v>1502</v>
      </c>
      <c r="J10" s="44" t="n">
        <v>1502</v>
      </c>
      <c r="K10" s="44" t="n">
        <v>1502</v>
      </c>
      <c r="L10" s="44" t="n">
        <v>1502</v>
      </c>
      <c r="M10" s="44" t="n">
        <v>1502</v>
      </c>
      <c r="N10" s="44" t="n">
        <v>1502</v>
      </c>
      <c r="O10" s="44" t="n">
        <v>1502</v>
      </c>
      <c r="P10" s="44" t="n">
        <v>1502</v>
      </c>
      <c r="Q10" s="44" t="n">
        <v>1502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0.518368617683686</v>
      </c>
      <c r="H11" s="45" t="n">
        <f aca="false">H8/H7</f>
        <v>0.508544087491456</v>
      </c>
      <c r="I11" s="45" t="n">
        <f aca="false">I8/I7</f>
        <v>0.508544087491456</v>
      </c>
      <c r="J11" s="45" t="n">
        <f aca="false">J8/J7</f>
        <v>0.508544087491456</v>
      </c>
      <c r="K11" s="45" t="n">
        <f aca="false">K8/K7</f>
        <v>0.508544087491456</v>
      </c>
      <c r="L11" s="45" t="n">
        <f aca="false">L8/L7</f>
        <v>0.508544087491456</v>
      </c>
      <c r="M11" s="45" t="n">
        <f aca="false">M8/M7</f>
        <v>0.508544087491456</v>
      </c>
      <c r="N11" s="45" t="n">
        <f aca="false">N8/N7</f>
        <v>0.508544087491456</v>
      </c>
      <c r="O11" s="45" t="n">
        <f aca="false">O8/O7</f>
        <v>0.508544087491456</v>
      </c>
      <c r="P11" s="45" t="n">
        <f aca="false">P8/P7</f>
        <v>0.508544087491456</v>
      </c>
      <c r="Q11" s="45" t="n">
        <f aca="false">Q8/Q7</f>
        <v>0.508544087491456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9</v>
      </c>
      <c r="H12" s="44" t="n">
        <f aca="false">SUM(H13:H17)</f>
        <v>8</v>
      </c>
      <c r="I12" s="44" t="n">
        <f aca="false">SUM(I13:I17)</f>
        <v>8</v>
      </c>
      <c r="J12" s="44" t="n">
        <f aca="false">SUM(J13:J17)</f>
        <v>8</v>
      </c>
      <c r="K12" s="44" t="n">
        <f aca="false">SUM(K13:K17)</f>
        <v>8</v>
      </c>
      <c r="L12" s="44" t="n">
        <f aca="false">SUM(L13:L17)</f>
        <v>8</v>
      </c>
      <c r="M12" s="44" t="n">
        <f aca="false">SUM(M13:M17)</f>
        <v>8</v>
      </c>
      <c r="N12" s="44" t="n">
        <f aca="false">SUM(N13:N17)</f>
        <v>8</v>
      </c>
      <c r="O12" s="44" t="n">
        <f aca="false">SUM(O13:O17)</f>
        <v>8</v>
      </c>
      <c r="P12" s="44" t="n">
        <f aca="false">SUM(P13:P17)</f>
        <v>8</v>
      </c>
      <c r="Q12" s="44" t="n">
        <f aca="false">SUM(Q13:Q17)</f>
        <v>8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  <c r="H13" s="43" t="n">
        <v>0</v>
      </c>
      <c r="I13" s="43" t="n">
        <v>0</v>
      </c>
      <c r="J13" s="43" t="n">
        <v>0</v>
      </c>
      <c r="K13" s="43" t="n">
        <v>0</v>
      </c>
      <c r="L13" s="43" t="n">
        <v>0</v>
      </c>
      <c r="M13" s="43" t="n">
        <v>0</v>
      </c>
      <c r="N13" s="43" t="n">
        <v>0</v>
      </c>
      <c r="O13" s="43" t="n">
        <v>0</v>
      </c>
      <c r="P13" s="43" t="n">
        <v>0</v>
      </c>
      <c r="Q13" s="43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  <c r="H14" s="43" t="n">
        <v>2</v>
      </c>
      <c r="I14" s="43" t="n">
        <v>2</v>
      </c>
      <c r="J14" s="43" t="n">
        <v>2</v>
      </c>
      <c r="K14" s="43" t="n">
        <v>2</v>
      </c>
      <c r="L14" s="43" t="n">
        <v>2</v>
      </c>
      <c r="M14" s="43" t="n">
        <v>2</v>
      </c>
      <c r="N14" s="43" t="n">
        <v>2</v>
      </c>
      <c r="O14" s="43" t="n">
        <v>2</v>
      </c>
      <c r="P14" s="43" t="n">
        <v>2</v>
      </c>
      <c r="Q14" s="43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  <c r="H15" s="43" t="n">
        <v>0</v>
      </c>
      <c r="I15" s="43" t="n">
        <v>0</v>
      </c>
      <c r="J15" s="43" t="n">
        <v>0</v>
      </c>
      <c r="K15" s="43" t="n">
        <v>0</v>
      </c>
      <c r="L15" s="43" t="n">
        <v>0</v>
      </c>
      <c r="M15" s="43" t="n">
        <v>0</v>
      </c>
      <c r="N15" s="43" t="n">
        <v>0</v>
      </c>
      <c r="O15" s="43" t="n">
        <v>0</v>
      </c>
      <c r="P15" s="43" t="n">
        <v>0</v>
      </c>
      <c r="Q15" s="43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6</v>
      </c>
      <c r="H16" s="43" t="n">
        <v>6</v>
      </c>
      <c r="I16" s="43" t="n">
        <v>6</v>
      </c>
      <c r="J16" s="43" t="n">
        <v>6</v>
      </c>
      <c r="K16" s="43" t="n">
        <v>6</v>
      </c>
      <c r="L16" s="43" t="n">
        <v>6</v>
      </c>
      <c r="M16" s="43" t="n">
        <v>6</v>
      </c>
      <c r="N16" s="43" t="n">
        <v>6</v>
      </c>
      <c r="O16" s="43" t="n">
        <v>6</v>
      </c>
      <c r="P16" s="43" t="n">
        <v>6</v>
      </c>
      <c r="Q16" s="43" t="n">
        <v>6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  <c r="H17" s="43" t="n">
        <v>0</v>
      </c>
      <c r="I17" s="43" t="n">
        <v>0</v>
      </c>
      <c r="J17" s="43" t="n">
        <v>0</v>
      </c>
      <c r="K17" s="43" t="n">
        <v>0</v>
      </c>
      <c r="L17" s="43" t="n">
        <v>0</v>
      </c>
      <c r="M17" s="43" t="n">
        <v>0</v>
      </c>
      <c r="N17" s="43" t="n">
        <v>0</v>
      </c>
      <c r="O17" s="43" t="n">
        <v>0</v>
      </c>
      <c r="P17" s="43" t="n">
        <v>0</v>
      </c>
      <c r="Q17" s="43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328</v>
      </c>
      <c r="C20" s="35" t="s">
        <v>329</v>
      </c>
      <c r="D20" s="35"/>
      <c r="E20" s="35" t="s">
        <v>38</v>
      </c>
      <c r="F20" s="36" t="s">
        <v>330</v>
      </c>
      <c r="G20" s="37" t="s">
        <v>35</v>
      </c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158</v>
      </c>
      <c r="C21" s="35" t="s">
        <v>331</v>
      </c>
      <c r="D21" s="35"/>
      <c r="E21" s="35" t="s">
        <v>45</v>
      </c>
      <c r="F21" s="38" t="s">
        <v>332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333</v>
      </c>
      <c r="C22" s="35" t="s">
        <v>334</v>
      </c>
      <c r="D22" s="35" t="s">
        <v>33</v>
      </c>
      <c r="E22" s="35" t="s">
        <v>38</v>
      </c>
      <c r="F22" s="38" t="s">
        <v>335</v>
      </c>
      <c r="G22" s="39" t="s">
        <v>35</v>
      </c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336</v>
      </c>
      <c r="C23" s="35" t="s">
        <v>337</v>
      </c>
      <c r="D23" s="35"/>
      <c r="E23" s="35" t="s">
        <v>34</v>
      </c>
      <c r="F23" s="38" t="s">
        <v>338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339</v>
      </c>
      <c r="C24" s="35" t="s">
        <v>340</v>
      </c>
      <c r="D24" s="35"/>
      <c r="E24" s="35" t="s">
        <v>45</v>
      </c>
      <c r="F24" s="38" t="s">
        <v>341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342</v>
      </c>
      <c r="C25" s="35" t="s">
        <v>343</v>
      </c>
      <c r="D25" s="35"/>
      <c r="E25" s="35" t="s">
        <v>38</v>
      </c>
      <c r="F25" s="38" t="s">
        <v>344</v>
      </c>
      <c r="G25" s="39" t="s">
        <v>35</v>
      </c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345</v>
      </c>
      <c r="C26" s="35" t="s">
        <v>346</v>
      </c>
      <c r="D26" s="35"/>
      <c r="E26" s="35" t="s">
        <v>60</v>
      </c>
      <c r="F26" s="38" t="s">
        <v>347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348</v>
      </c>
      <c r="C27" s="35" t="s">
        <v>349</v>
      </c>
      <c r="D27" s="35"/>
      <c r="E27" s="35" t="s">
        <v>60</v>
      </c>
      <c r="F27" s="38" t="s">
        <v>350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351</v>
      </c>
      <c r="C28" s="35" t="s">
        <v>352</v>
      </c>
      <c r="D28" s="35"/>
      <c r="E28" s="35" t="s">
        <v>30</v>
      </c>
      <c r="F28" s="38" t="s">
        <v>353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354</v>
      </c>
      <c r="C29" s="35" t="s">
        <v>355</v>
      </c>
      <c r="D29" s="35" t="s">
        <v>33</v>
      </c>
      <c r="E29" s="35" t="s">
        <v>30</v>
      </c>
      <c r="F29" s="38" t="s">
        <v>356</v>
      </c>
      <c r="G29" s="39"/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357</v>
      </c>
      <c r="C30" s="35" t="s">
        <v>358</v>
      </c>
      <c r="D30" s="35"/>
      <c r="E30" s="35" t="s">
        <v>34</v>
      </c>
      <c r="F30" s="38" t="s">
        <v>359</v>
      </c>
      <c r="G30" s="39"/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360</v>
      </c>
      <c r="C31" s="35" t="s">
        <v>361</v>
      </c>
      <c r="D31" s="35"/>
      <c r="E31" s="35" t="s">
        <v>60</v>
      </c>
      <c r="F31" s="38" t="s">
        <v>362</v>
      </c>
      <c r="G31" s="39"/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363</v>
      </c>
      <c r="C32" s="35" t="s">
        <v>364</v>
      </c>
      <c r="D32" s="35" t="s">
        <v>33</v>
      </c>
      <c r="E32" s="35" t="s">
        <v>45</v>
      </c>
      <c r="F32" s="38" t="s">
        <v>365</v>
      </c>
      <c r="G32" s="39"/>
      <c r="H32" s="8"/>
      <c r="I32" s="23"/>
    </row>
    <row r="33" customFormat="false" ht="13.8" hidden="false" customHeight="false" outlineLevel="0" collapsed="false">
      <c r="A33" s="18" t="n">
        <v>14</v>
      </c>
      <c r="B33" s="35" t="s">
        <v>366</v>
      </c>
      <c r="C33" s="35" t="s">
        <v>367</v>
      </c>
      <c r="D33" s="35" t="s">
        <v>33</v>
      </c>
      <c r="E33" s="35" t="s">
        <v>34</v>
      </c>
      <c r="F33" s="38" t="s">
        <v>368</v>
      </c>
      <c r="G33" s="39"/>
      <c r="H33" s="8"/>
      <c r="I33" s="23"/>
    </row>
    <row r="34" customFormat="false" ht="13.8" hidden="false" customHeight="false" outlineLevel="0" collapsed="false">
      <c r="A34" s="18" t="n">
        <v>15</v>
      </c>
      <c r="B34" s="35" t="s">
        <v>369</v>
      </c>
      <c r="C34" s="35" t="s">
        <v>370</v>
      </c>
      <c r="D34" s="35"/>
      <c r="E34" s="35" t="s">
        <v>30</v>
      </c>
      <c r="F34" s="38" t="s">
        <v>371</v>
      </c>
      <c r="G34" s="39"/>
      <c r="H34" s="8"/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42">
      <formula>MOD(ROW(),2)=0</formula>
    </cfRule>
    <cfRule type="expression" priority="3" aboveAverage="0" equalAverage="0" bottom="0" percent="0" rank="0" text="" dxfId="43">
      <formula>MOD(ROW(),2)=1</formula>
    </cfRule>
  </conditionalFormatting>
  <conditionalFormatting sqref="C20">
    <cfRule type="expression" priority="4" aboveAverage="0" equalAverage="0" bottom="0" percent="0" rank="0" text="" dxfId="44">
      <formula>MOD(ROW(),2)=0</formula>
    </cfRule>
    <cfRule type="expression" priority="5" aboveAverage="0" equalAverage="0" bottom="0" percent="0" rank="0" text="" dxfId="45">
      <formula>MOD(ROW(),2)=1</formula>
    </cfRule>
  </conditionalFormatting>
  <conditionalFormatting sqref="B20:E40">
    <cfRule type="expression" priority="6" aboveAverage="0" equalAverage="0" bottom="0" percent="0" rank="0" text="" dxfId="46">
      <formula>MOD(ROW(),2)=0</formula>
    </cfRule>
    <cfRule type="expression" priority="7" aboveAverage="0" equalAverage="0" bottom="0" percent="0" rank="0" text="" dxfId="4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7" activeCellId="0" sqref="D37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372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118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8727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3637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3152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485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0.416752606852298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6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5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1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0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373</v>
      </c>
      <c r="C20" s="35" t="s">
        <v>374</v>
      </c>
      <c r="D20" s="35" t="s">
        <v>33</v>
      </c>
      <c r="E20" s="35" t="s">
        <v>45</v>
      </c>
      <c r="F20" s="36" t="s">
        <v>375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376</v>
      </c>
      <c r="C21" s="35" t="s">
        <v>377</v>
      </c>
      <c r="D21" s="35"/>
      <c r="E21" s="35" t="s">
        <v>34</v>
      </c>
      <c r="F21" s="38" t="s">
        <v>378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379</v>
      </c>
      <c r="C22" s="35" t="s">
        <v>380</v>
      </c>
      <c r="D22" s="35" t="s">
        <v>33</v>
      </c>
      <c r="E22" s="35" t="s">
        <v>38</v>
      </c>
      <c r="F22" s="38" t="s">
        <v>381</v>
      </c>
      <c r="G22" s="39" t="s">
        <v>35</v>
      </c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382</v>
      </c>
      <c r="C23" s="35" t="s">
        <v>383</v>
      </c>
      <c r="D23" s="35" t="s">
        <v>33</v>
      </c>
      <c r="E23" s="35" t="s">
        <v>60</v>
      </c>
      <c r="F23" s="38" t="s">
        <v>384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385</v>
      </c>
      <c r="C24" s="35" t="s">
        <v>386</v>
      </c>
      <c r="D24" s="35" t="s">
        <v>33</v>
      </c>
      <c r="E24" s="35" t="s">
        <v>45</v>
      </c>
      <c r="F24" s="38" t="s">
        <v>387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388</v>
      </c>
      <c r="C25" s="35" t="s">
        <v>389</v>
      </c>
      <c r="D25" s="35"/>
      <c r="E25" s="35" t="s">
        <v>60</v>
      </c>
      <c r="F25" s="38" t="s">
        <v>390</v>
      </c>
      <c r="G25" s="39"/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391</v>
      </c>
      <c r="C26" s="35" t="s">
        <v>392</v>
      </c>
      <c r="D26" s="35"/>
      <c r="E26" s="35" t="s">
        <v>34</v>
      </c>
      <c r="F26" s="38" t="s">
        <v>393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394</v>
      </c>
      <c r="C27" s="35" t="s">
        <v>395</v>
      </c>
      <c r="D27" s="35"/>
      <c r="E27" s="35" t="s">
        <v>30</v>
      </c>
      <c r="F27" s="38" t="s">
        <v>396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397</v>
      </c>
      <c r="C28" s="35" t="s">
        <v>398</v>
      </c>
      <c r="D28" s="35" t="s">
        <v>33</v>
      </c>
      <c r="E28" s="35" t="s">
        <v>30</v>
      </c>
      <c r="F28" s="38" t="s">
        <v>399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400</v>
      </c>
      <c r="C29" s="35" t="s">
        <v>401</v>
      </c>
      <c r="D29" s="35"/>
      <c r="E29" s="35" t="s">
        <v>38</v>
      </c>
      <c r="F29" s="38" t="s">
        <v>402</v>
      </c>
      <c r="G29" s="39" t="s">
        <v>35</v>
      </c>
      <c r="H29" s="8"/>
      <c r="I29" s="23"/>
    </row>
    <row r="30" customFormat="false" ht="13.8" hidden="false" customHeight="false" outlineLevel="0" collapsed="false">
      <c r="A30" s="18" t="n">
        <v>11</v>
      </c>
      <c r="B30" s="40"/>
      <c r="C30" s="41"/>
      <c r="D30" s="41"/>
      <c r="E30" s="38"/>
      <c r="F30" s="38"/>
      <c r="G30" s="38"/>
      <c r="H30" s="8" t="s">
        <v>149</v>
      </c>
      <c r="I30" s="23"/>
    </row>
    <row r="31" customFormat="false" ht="13.8" hidden="false" customHeight="false" outlineLevel="0" collapsed="false">
      <c r="A31" s="18" t="n">
        <v>12</v>
      </c>
      <c r="B31" s="40"/>
      <c r="C31" s="41"/>
      <c r="D31" s="41"/>
      <c r="E31" s="38"/>
      <c r="F31" s="38"/>
      <c r="G31" s="38"/>
      <c r="H31" s="8" t="s">
        <v>150</v>
      </c>
      <c r="I31" s="23"/>
    </row>
    <row r="32" customFormat="false" ht="13.8" hidden="false" customHeight="false" outlineLevel="0" collapsed="false">
      <c r="A32" s="18" t="n">
        <v>13</v>
      </c>
      <c r="B32" s="40"/>
      <c r="C32" s="41"/>
      <c r="D32" s="41"/>
      <c r="E32" s="38"/>
      <c r="F32" s="38"/>
      <c r="G32" s="38"/>
      <c r="H32" s="8" t="s">
        <v>151</v>
      </c>
      <c r="I32" s="23"/>
    </row>
    <row r="33" customFormat="false" ht="13.8" hidden="false" customHeight="false" outlineLevel="0" collapsed="false">
      <c r="A33" s="18" t="n">
        <v>14</v>
      </c>
      <c r="B33" s="40"/>
      <c r="C33" s="41"/>
      <c r="D33" s="41"/>
      <c r="E33" s="38"/>
      <c r="F33" s="38"/>
      <c r="G33" s="38"/>
      <c r="H33" s="8" t="s">
        <v>152</v>
      </c>
      <c r="I33" s="23"/>
    </row>
    <row r="34" customFormat="false" ht="13.8" hidden="false" customHeight="false" outlineLevel="0" collapsed="false">
      <c r="A34" s="18" t="n">
        <v>15</v>
      </c>
      <c r="B34" s="40"/>
      <c r="C34" s="41"/>
      <c r="D34" s="41"/>
      <c r="E34" s="38"/>
      <c r="F34" s="38"/>
      <c r="G34" s="38"/>
      <c r="H34" s="8" t="s">
        <v>153</v>
      </c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48">
      <formula>MOD(ROW(),2)=0</formula>
    </cfRule>
    <cfRule type="expression" priority="3" aboveAverage="0" equalAverage="0" bottom="0" percent="0" rank="0" text="" dxfId="49">
      <formula>MOD(ROW(),2)=1</formula>
    </cfRule>
  </conditionalFormatting>
  <conditionalFormatting sqref="C20">
    <cfRule type="expression" priority="4" aboveAverage="0" equalAverage="0" bottom="0" percent="0" rank="0" text="" dxfId="50">
      <formula>MOD(ROW(),2)=0</formula>
    </cfRule>
    <cfRule type="expression" priority="5" aboveAverage="0" equalAverage="0" bottom="0" percent="0" rank="0" text="" dxfId="51">
      <formula>MOD(ROW(),2)=1</formula>
    </cfRule>
  </conditionalFormatting>
  <conditionalFormatting sqref="B20:E40">
    <cfRule type="expression" priority="6" aboveAverage="0" equalAverage="0" bottom="0" percent="0" rank="0" text="" dxfId="52">
      <formula>MOD(ROW(),2)=0</formula>
    </cfRule>
    <cfRule type="expression" priority="7" aboveAverage="0" equalAverage="0" bottom="0" percent="0" rank="0" text="" dxfId="5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403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404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4333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2401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1967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434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0.554119547657512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3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405</v>
      </c>
      <c r="C20" s="35" t="s">
        <v>406</v>
      </c>
      <c r="D20" s="35"/>
      <c r="E20" s="35" t="s">
        <v>30</v>
      </c>
      <c r="F20" s="36" t="s">
        <v>407</v>
      </c>
      <c r="G20" s="37" t="s">
        <v>35</v>
      </c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161</v>
      </c>
      <c r="C21" s="35" t="s">
        <v>408</v>
      </c>
      <c r="D21" s="35"/>
      <c r="E21" s="35" t="s">
        <v>60</v>
      </c>
      <c r="F21" s="38" t="s">
        <v>409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410</v>
      </c>
      <c r="C22" s="35" t="s">
        <v>411</v>
      </c>
      <c r="D22" s="35" t="s">
        <v>412</v>
      </c>
      <c r="E22" s="35" t="s">
        <v>45</v>
      </c>
      <c r="F22" s="38" t="s">
        <v>413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414</v>
      </c>
      <c r="C23" s="35" t="s">
        <v>88</v>
      </c>
      <c r="D23" s="35"/>
      <c r="E23" s="35" t="s">
        <v>34</v>
      </c>
      <c r="F23" s="38" t="s">
        <v>415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416</v>
      </c>
      <c r="C24" s="35" t="s">
        <v>417</v>
      </c>
      <c r="D24" s="35"/>
      <c r="E24" s="35" t="s">
        <v>38</v>
      </c>
      <c r="F24" s="38" t="s">
        <v>418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40"/>
      <c r="C25" s="41"/>
      <c r="D25" s="41"/>
      <c r="E25" s="38"/>
      <c r="F25" s="38"/>
      <c r="G25" s="38"/>
      <c r="H25" s="8" t="s">
        <v>419</v>
      </c>
      <c r="I25" s="23"/>
    </row>
    <row r="26" customFormat="false" ht="13.8" hidden="false" customHeight="false" outlineLevel="0" collapsed="false">
      <c r="A26" s="18" t="n">
        <v>7</v>
      </c>
      <c r="B26" s="40"/>
      <c r="C26" s="41"/>
      <c r="D26" s="41"/>
      <c r="E26" s="38"/>
      <c r="F26" s="38"/>
      <c r="G26" s="38"/>
      <c r="H26" s="8" t="s">
        <v>420</v>
      </c>
      <c r="I26" s="23"/>
    </row>
    <row r="27" customFormat="false" ht="13.8" hidden="false" customHeight="false" outlineLevel="0" collapsed="false">
      <c r="A27" s="18" t="n">
        <v>8</v>
      </c>
      <c r="B27" s="40"/>
      <c r="C27" s="41"/>
      <c r="D27" s="41"/>
      <c r="E27" s="38"/>
      <c r="F27" s="38"/>
      <c r="G27" s="38"/>
      <c r="H27" s="8" t="s">
        <v>421</v>
      </c>
      <c r="I27" s="23"/>
    </row>
    <row r="28" customFormat="false" ht="13.8" hidden="false" customHeight="false" outlineLevel="0" collapsed="false">
      <c r="A28" s="18" t="n">
        <v>9</v>
      </c>
      <c r="B28" s="40"/>
      <c r="C28" s="41"/>
      <c r="D28" s="41"/>
      <c r="E28" s="38"/>
      <c r="F28" s="38"/>
      <c r="G28" s="38"/>
      <c r="H28" s="8" t="s">
        <v>422</v>
      </c>
      <c r="I28" s="23"/>
    </row>
    <row r="29" customFormat="false" ht="13.8" hidden="false" customHeight="false" outlineLevel="0" collapsed="false">
      <c r="A29" s="18" t="n">
        <v>10</v>
      </c>
      <c r="B29" s="40"/>
      <c r="C29" s="41"/>
      <c r="D29" s="41"/>
      <c r="E29" s="38"/>
      <c r="F29" s="38"/>
      <c r="G29" s="38"/>
      <c r="H29" s="8" t="s">
        <v>281</v>
      </c>
      <c r="I29" s="23"/>
    </row>
    <row r="30" customFormat="false" ht="13.8" hidden="false" customHeight="false" outlineLevel="0" collapsed="false">
      <c r="A30" s="18" t="n">
        <v>11</v>
      </c>
      <c r="B30" s="40"/>
      <c r="C30" s="41"/>
      <c r="D30" s="41"/>
      <c r="E30" s="38"/>
      <c r="F30" s="38"/>
      <c r="G30" s="38"/>
      <c r="H30" s="8" t="s">
        <v>149</v>
      </c>
      <c r="I30" s="23"/>
    </row>
    <row r="31" customFormat="false" ht="13.8" hidden="false" customHeight="false" outlineLevel="0" collapsed="false">
      <c r="A31" s="18" t="n">
        <v>12</v>
      </c>
      <c r="B31" s="40"/>
      <c r="C31" s="41"/>
      <c r="D31" s="41"/>
      <c r="E31" s="38"/>
      <c r="F31" s="38"/>
      <c r="G31" s="38"/>
      <c r="H31" s="8" t="s">
        <v>150</v>
      </c>
      <c r="I31" s="23"/>
    </row>
    <row r="32" customFormat="false" ht="13.8" hidden="false" customHeight="false" outlineLevel="0" collapsed="false">
      <c r="A32" s="18" t="n">
        <v>13</v>
      </c>
      <c r="B32" s="40"/>
      <c r="C32" s="41"/>
      <c r="D32" s="41"/>
      <c r="E32" s="38"/>
      <c r="F32" s="38"/>
      <c r="G32" s="38"/>
      <c r="H32" s="8" t="s">
        <v>151</v>
      </c>
      <c r="I32" s="23"/>
    </row>
    <row r="33" customFormat="false" ht="13.8" hidden="false" customHeight="false" outlineLevel="0" collapsed="false">
      <c r="A33" s="18" t="n">
        <v>14</v>
      </c>
      <c r="B33" s="40"/>
      <c r="C33" s="41"/>
      <c r="D33" s="41"/>
      <c r="E33" s="38"/>
      <c r="F33" s="38"/>
      <c r="G33" s="38"/>
      <c r="H33" s="8" t="s">
        <v>152</v>
      </c>
      <c r="I33" s="23"/>
    </row>
    <row r="34" customFormat="false" ht="13.8" hidden="false" customHeight="false" outlineLevel="0" collapsed="false">
      <c r="A34" s="18" t="n">
        <v>15</v>
      </c>
      <c r="B34" s="40"/>
      <c r="C34" s="41"/>
      <c r="D34" s="41"/>
      <c r="E34" s="38"/>
      <c r="F34" s="38"/>
      <c r="G34" s="38"/>
      <c r="H34" s="8" t="s">
        <v>153</v>
      </c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54">
      <formula>MOD(ROW(),2)=0</formula>
    </cfRule>
    <cfRule type="expression" priority="3" aboveAverage="0" equalAverage="0" bottom="0" percent="0" rank="0" text="" dxfId="55">
      <formula>MOD(ROW(),2)=1</formula>
    </cfRule>
  </conditionalFormatting>
  <conditionalFormatting sqref="C20">
    <cfRule type="expression" priority="4" aboveAverage="0" equalAverage="0" bottom="0" percent="0" rank="0" text="" dxfId="56">
      <formula>MOD(ROW(),2)=0</formula>
    </cfRule>
    <cfRule type="expression" priority="5" aboveAverage="0" equalAverage="0" bottom="0" percent="0" rank="0" text="" dxfId="57">
      <formula>MOD(ROW(),2)=1</formula>
    </cfRule>
  </conditionalFormatting>
  <conditionalFormatting sqref="B20:E40">
    <cfRule type="expression" priority="6" aboveAverage="0" equalAverage="0" bottom="0" percent="0" rank="0" text="" dxfId="58">
      <formula>MOD(ROW(),2)=0</formula>
    </cfRule>
    <cfRule type="expression" priority="7" aboveAverage="0" equalAverage="0" bottom="0" percent="0" rank="0" text="" dxfId="5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423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13689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7435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5857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1578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0.543136825188107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12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0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10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424</v>
      </c>
      <c r="C20" s="35" t="s">
        <v>425</v>
      </c>
      <c r="D20" s="35"/>
      <c r="E20" s="35" t="s">
        <v>60</v>
      </c>
      <c r="F20" s="36" t="s">
        <v>426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427</v>
      </c>
      <c r="C21" s="35" t="s">
        <v>428</v>
      </c>
      <c r="D21" s="35"/>
      <c r="E21" s="35" t="s">
        <v>60</v>
      </c>
      <c r="F21" s="38" t="s">
        <v>429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430</v>
      </c>
      <c r="C22" s="35" t="s">
        <v>431</v>
      </c>
      <c r="D22" s="35"/>
      <c r="E22" s="35" t="s">
        <v>34</v>
      </c>
      <c r="F22" s="38" t="s">
        <v>432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433</v>
      </c>
      <c r="C23" s="35" t="s">
        <v>434</v>
      </c>
      <c r="D23" s="35"/>
      <c r="E23" s="35" t="s">
        <v>30</v>
      </c>
      <c r="F23" s="38" t="s">
        <v>435</v>
      </c>
      <c r="G23" s="39" t="s">
        <v>35</v>
      </c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436</v>
      </c>
      <c r="C24" s="35" t="s">
        <v>437</v>
      </c>
      <c r="D24" s="35"/>
      <c r="E24" s="35" t="s">
        <v>60</v>
      </c>
      <c r="F24" s="38" t="s">
        <v>438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439</v>
      </c>
      <c r="C25" s="35" t="s">
        <v>440</v>
      </c>
      <c r="D25" s="35" t="s">
        <v>33</v>
      </c>
      <c r="E25" s="35" t="s">
        <v>34</v>
      </c>
      <c r="F25" s="38" t="s">
        <v>243</v>
      </c>
      <c r="G25" s="39"/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441</v>
      </c>
      <c r="C26" s="35" t="s">
        <v>442</v>
      </c>
      <c r="D26" s="35" t="s">
        <v>33</v>
      </c>
      <c r="E26" s="35" t="s">
        <v>30</v>
      </c>
      <c r="F26" s="38" t="s">
        <v>443</v>
      </c>
      <c r="G26" s="39" t="s">
        <v>35</v>
      </c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444</v>
      </c>
      <c r="C27" s="35" t="s">
        <v>445</v>
      </c>
      <c r="D27" s="35" t="s">
        <v>33</v>
      </c>
      <c r="E27" s="35" t="s">
        <v>45</v>
      </c>
      <c r="F27" s="38" t="s">
        <v>446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447</v>
      </c>
      <c r="C28" s="35" t="s">
        <v>448</v>
      </c>
      <c r="D28" s="35"/>
      <c r="E28" s="35" t="s">
        <v>34</v>
      </c>
      <c r="F28" s="38" t="s">
        <v>449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450</v>
      </c>
      <c r="C29" s="35" t="s">
        <v>451</v>
      </c>
      <c r="D29" s="35" t="s">
        <v>33</v>
      </c>
      <c r="E29" s="35" t="s">
        <v>38</v>
      </c>
      <c r="F29" s="38" t="s">
        <v>452</v>
      </c>
      <c r="G29" s="39"/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453</v>
      </c>
      <c r="C30" s="35" t="s">
        <v>454</v>
      </c>
      <c r="D30" s="35" t="s">
        <v>33</v>
      </c>
      <c r="E30" s="35" t="s">
        <v>30</v>
      </c>
      <c r="F30" s="38" t="s">
        <v>455</v>
      </c>
      <c r="G30" s="39" t="s">
        <v>35</v>
      </c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456</v>
      </c>
      <c r="C31" s="35" t="s">
        <v>457</v>
      </c>
      <c r="D31" s="35"/>
      <c r="E31" s="35" t="s">
        <v>38</v>
      </c>
      <c r="F31" s="38" t="s">
        <v>458</v>
      </c>
      <c r="G31" s="39"/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459</v>
      </c>
      <c r="C32" s="35" t="s">
        <v>460</v>
      </c>
      <c r="D32" s="35"/>
      <c r="E32" s="35" t="s">
        <v>38</v>
      </c>
      <c r="F32" s="38" t="s">
        <v>160</v>
      </c>
      <c r="G32" s="39"/>
      <c r="H32" s="8"/>
      <c r="I32" s="23"/>
    </row>
    <row r="33" customFormat="false" ht="13.8" hidden="false" customHeight="false" outlineLevel="0" collapsed="false">
      <c r="A33" s="18" t="n">
        <v>14</v>
      </c>
      <c r="B33" s="35" t="s">
        <v>461</v>
      </c>
      <c r="C33" s="35" t="s">
        <v>462</v>
      </c>
      <c r="D33" s="35"/>
      <c r="E33" s="35" t="s">
        <v>45</v>
      </c>
      <c r="F33" s="38" t="s">
        <v>463</v>
      </c>
      <c r="G33" s="39"/>
      <c r="H33" s="8"/>
      <c r="I33" s="23"/>
    </row>
    <row r="34" customFormat="false" ht="13.8" hidden="false" customHeight="false" outlineLevel="0" collapsed="false">
      <c r="A34" s="18" t="n">
        <v>15</v>
      </c>
      <c r="B34" s="40"/>
      <c r="C34" s="41"/>
      <c r="D34" s="41"/>
      <c r="E34" s="38"/>
      <c r="F34" s="38"/>
      <c r="G34" s="38"/>
      <c r="H34" s="8" t="s">
        <v>153</v>
      </c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60">
      <formula>MOD(ROW(),2)=0</formula>
    </cfRule>
    <cfRule type="expression" priority="3" aboveAverage="0" equalAverage="0" bottom="0" percent="0" rank="0" text="" dxfId="61">
      <formula>MOD(ROW(),2)=1</formula>
    </cfRule>
  </conditionalFormatting>
  <conditionalFormatting sqref="C20">
    <cfRule type="expression" priority="4" aboveAverage="0" equalAverage="0" bottom="0" percent="0" rank="0" text="" dxfId="62">
      <formula>MOD(ROW(),2)=0</formula>
    </cfRule>
    <cfRule type="expression" priority="5" aboveAverage="0" equalAverage="0" bottom="0" percent="0" rank="0" text="" dxfId="63">
      <formula>MOD(ROW(),2)=1</formula>
    </cfRule>
  </conditionalFormatting>
  <conditionalFormatting sqref="B20:E40">
    <cfRule type="expression" priority="6" aboveAverage="0" equalAverage="0" bottom="0" percent="0" rank="0" text="" dxfId="64">
      <formula>MOD(ROW(),2)=0</formula>
    </cfRule>
    <cfRule type="expression" priority="7" aboveAverage="0" equalAverage="0" bottom="0" percent="0" rank="0" text="" dxfId="6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464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12282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6977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5707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1270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0.56806709005048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7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465</v>
      </c>
      <c r="C20" s="35" t="s">
        <v>276</v>
      </c>
      <c r="D20" s="35"/>
      <c r="E20" s="35" t="s">
        <v>38</v>
      </c>
      <c r="F20" s="36" t="s">
        <v>466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467</v>
      </c>
      <c r="C21" s="35" t="s">
        <v>468</v>
      </c>
      <c r="D21" s="35" t="s">
        <v>33</v>
      </c>
      <c r="E21" s="35" t="s">
        <v>45</v>
      </c>
      <c r="F21" s="38" t="s">
        <v>469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470</v>
      </c>
      <c r="C22" s="35" t="s">
        <v>471</v>
      </c>
      <c r="D22" s="35"/>
      <c r="E22" s="35" t="s">
        <v>30</v>
      </c>
      <c r="F22" s="38" t="s">
        <v>472</v>
      </c>
      <c r="G22" s="39" t="s">
        <v>35</v>
      </c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473</v>
      </c>
      <c r="C23" s="35" t="s">
        <v>474</v>
      </c>
      <c r="D23" s="35" t="s">
        <v>33</v>
      </c>
      <c r="E23" s="35" t="s">
        <v>34</v>
      </c>
      <c r="F23" s="38" t="s">
        <v>475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476</v>
      </c>
      <c r="C24" s="35" t="s">
        <v>477</v>
      </c>
      <c r="D24" s="35"/>
      <c r="E24" s="35" t="s">
        <v>34</v>
      </c>
      <c r="F24" s="38" t="s">
        <v>478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479</v>
      </c>
      <c r="C25" s="35" t="s">
        <v>480</v>
      </c>
      <c r="D25" s="35" t="s">
        <v>33</v>
      </c>
      <c r="E25" s="35" t="s">
        <v>38</v>
      </c>
      <c r="F25" s="38" t="s">
        <v>481</v>
      </c>
      <c r="G25" s="39"/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482</v>
      </c>
      <c r="C26" s="35" t="s">
        <v>483</v>
      </c>
      <c r="D26" s="35"/>
      <c r="E26" s="35" t="s">
        <v>60</v>
      </c>
      <c r="F26" s="38" t="s">
        <v>484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88</v>
      </c>
      <c r="C27" s="35" t="s">
        <v>485</v>
      </c>
      <c r="D27" s="35" t="s">
        <v>33</v>
      </c>
      <c r="E27" s="35" t="s">
        <v>30</v>
      </c>
      <c r="F27" s="38" t="s">
        <v>486</v>
      </c>
      <c r="G27" s="39" t="s">
        <v>35</v>
      </c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487</v>
      </c>
      <c r="C28" s="35" t="s">
        <v>488</v>
      </c>
      <c r="D28" s="35" t="s">
        <v>33</v>
      </c>
      <c r="E28" s="35" t="s">
        <v>60</v>
      </c>
      <c r="F28" s="38" t="s">
        <v>489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490</v>
      </c>
      <c r="C29" s="35" t="s">
        <v>491</v>
      </c>
      <c r="D29" s="35"/>
      <c r="E29" s="35" t="s">
        <v>38</v>
      </c>
      <c r="F29" s="38" t="s">
        <v>492</v>
      </c>
      <c r="G29" s="39"/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493</v>
      </c>
      <c r="C30" s="35" t="s">
        <v>494</v>
      </c>
      <c r="D30" s="35" t="s">
        <v>33</v>
      </c>
      <c r="E30" s="35" t="s">
        <v>30</v>
      </c>
      <c r="F30" s="38" t="s">
        <v>495</v>
      </c>
      <c r="G30" s="39" t="s">
        <v>35</v>
      </c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496</v>
      </c>
      <c r="C31" s="35" t="s">
        <v>497</v>
      </c>
      <c r="D31" s="35"/>
      <c r="E31" s="35" t="s">
        <v>34</v>
      </c>
      <c r="F31" s="38" t="s">
        <v>498</v>
      </c>
      <c r="G31" s="39"/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499</v>
      </c>
      <c r="C32" s="35" t="s">
        <v>500</v>
      </c>
      <c r="D32" s="35"/>
      <c r="E32" s="35" t="s">
        <v>60</v>
      </c>
      <c r="F32" s="38" t="s">
        <v>501</v>
      </c>
      <c r="G32" s="39"/>
      <c r="H32" s="8"/>
      <c r="I32" s="23"/>
    </row>
    <row r="33" customFormat="false" ht="13.8" hidden="false" customHeight="false" outlineLevel="0" collapsed="false">
      <c r="A33" s="18" t="n">
        <v>14</v>
      </c>
      <c r="B33" s="40"/>
      <c r="C33" s="41"/>
      <c r="D33" s="41"/>
      <c r="E33" s="38"/>
      <c r="F33" s="38"/>
      <c r="G33" s="38"/>
      <c r="H33" s="8" t="s">
        <v>152</v>
      </c>
      <c r="I33" s="23"/>
    </row>
    <row r="34" customFormat="false" ht="13.8" hidden="false" customHeight="false" outlineLevel="0" collapsed="false">
      <c r="A34" s="18" t="n">
        <v>15</v>
      </c>
      <c r="B34" s="40"/>
      <c r="C34" s="41"/>
      <c r="D34" s="41"/>
      <c r="E34" s="38"/>
      <c r="F34" s="38"/>
      <c r="G34" s="38"/>
      <c r="H34" s="8" t="s">
        <v>153</v>
      </c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66">
      <formula>MOD(ROW(),2)=0</formula>
    </cfRule>
    <cfRule type="expression" priority="3" aboveAverage="0" equalAverage="0" bottom="0" percent="0" rank="0" text="" dxfId="67">
      <formula>MOD(ROW(),2)=1</formula>
    </cfRule>
  </conditionalFormatting>
  <conditionalFormatting sqref="C20">
    <cfRule type="expression" priority="4" aboveAverage="0" equalAverage="0" bottom="0" percent="0" rank="0" text="" dxfId="68">
      <formula>MOD(ROW(),2)=0</formula>
    </cfRule>
    <cfRule type="expression" priority="5" aboveAverage="0" equalAverage="0" bottom="0" percent="0" rank="0" text="" dxfId="69">
      <formula>MOD(ROW(),2)=1</formula>
    </cfRule>
  </conditionalFormatting>
  <conditionalFormatting sqref="B20:E40">
    <cfRule type="expression" priority="6" aboveAverage="0" equalAverage="0" bottom="0" percent="0" rank="0" text="" dxfId="70">
      <formula>MOD(ROW(),2)=0</formula>
    </cfRule>
    <cfRule type="expression" priority="7" aboveAverage="0" equalAverage="0" bottom="0" percent="0" rank="0" text="" dxfId="7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4" activeCellId="0" sqref="D44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502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12163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6512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5099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1413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0.535394228397599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5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503</v>
      </c>
      <c r="C20" s="35" t="s">
        <v>504</v>
      </c>
      <c r="D20" s="35"/>
      <c r="E20" s="35" t="s">
        <v>38</v>
      </c>
      <c r="F20" s="36" t="s">
        <v>505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506</v>
      </c>
      <c r="C21" s="35" t="s">
        <v>507</v>
      </c>
      <c r="D21" s="35"/>
      <c r="E21" s="35" t="s">
        <v>30</v>
      </c>
      <c r="F21" s="38" t="s">
        <v>508</v>
      </c>
      <c r="G21" s="39" t="s">
        <v>35</v>
      </c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509</v>
      </c>
      <c r="C22" s="35" t="s">
        <v>510</v>
      </c>
      <c r="D22" s="35"/>
      <c r="E22" s="35" t="s">
        <v>30</v>
      </c>
      <c r="F22" s="38" t="s">
        <v>511</v>
      </c>
      <c r="G22" s="39" t="s">
        <v>35</v>
      </c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512</v>
      </c>
      <c r="C23" s="35" t="s">
        <v>513</v>
      </c>
      <c r="D23" s="35"/>
      <c r="E23" s="35" t="s">
        <v>34</v>
      </c>
      <c r="F23" s="38" t="s">
        <v>514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414</v>
      </c>
      <c r="C24" s="35" t="s">
        <v>515</v>
      </c>
      <c r="D24" s="35"/>
      <c r="E24" s="35" t="s">
        <v>45</v>
      </c>
      <c r="F24" s="38" t="s">
        <v>516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517</v>
      </c>
      <c r="C25" s="35" t="s">
        <v>518</v>
      </c>
      <c r="D25" s="35"/>
      <c r="E25" s="35" t="s">
        <v>45</v>
      </c>
      <c r="F25" s="38" t="s">
        <v>519</v>
      </c>
      <c r="G25" s="39"/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520</v>
      </c>
      <c r="C26" s="35" t="s">
        <v>521</v>
      </c>
      <c r="D26" s="35"/>
      <c r="E26" s="35" t="s">
        <v>34</v>
      </c>
      <c r="F26" s="38" t="s">
        <v>522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523</v>
      </c>
      <c r="C27" s="35" t="s">
        <v>524</v>
      </c>
      <c r="D27" s="35" t="s">
        <v>35</v>
      </c>
      <c r="E27" s="35" t="s">
        <v>45</v>
      </c>
      <c r="F27" s="38" t="s">
        <v>525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526</v>
      </c>
      <c r="C28" s="35" t="s">
        <v>527</v>
      </c>
      <c r="D28" s="35" t="s">
        <v>35</v>
      </c>
      <c r="E28" s="35" t="s">
        <v>60</v>
      </c>
      <c r="F28" s="38" t="s">
        <v>528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529</v>
      </c>
      <c r="C29" s="35" t="s">
        <v>530</v>
      </c>
      <c r="D29" s="35" t="s">
        <v>35</v>
      </c>
      <c r="E29" s="35" t="s">
        <v>38</v>
      </c>
      <c r="F29" s="38" t="s">
        <v>531</v>
      </c>
      <c r="G29" s="39"/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354</v>
      </c>
      <c r="C30" s="35" t="s">
        <v>532</v>
      </c>
      <c r="D30" s="35"/>
      <c r="E30" s="35" t="s">
        <v>30</v>
      </c>
      <c r="F30" s="38" t="s">
        <v>533</v>
      </c>
      <c r="G30" s="39" t="s">
        <v>35</v>
      </c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534</v>
      </c>
      <c r="C31" s="35" t="s">
        <v>535</v>
      </c>
      <c r="D31" s="35"/>
      <c r="E31" s="35" t="s">
        <v>60</v>
      </c>
      <c r="F31" s="38" t="s">
        <v>536</v>
      </c>
      <c r="G31" s="39"/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537</v>
      </c>
      <c r="C32" s="35" t="s">
        <v>538</v>
      </c>
      <c r="D32" s="35"/>
      <c r="E32" s="35" t="s">
        <v>60</v>
      </c>
      <c r="F32" s="38" t="s">
        <v>539</v>
      </c>
      <c r="G32" s="39"/>
      <c r="H32" s="8"/>
      <c r="I32" s="23"/>
    </row>
    <row r="33" customFormat="false" ht="13.8" hidden="false" customHeight="false" outlineLevel="0" collapsed="false">
      <c r="A33" s="18" t="n">
        <v>14</v>
      </c>
      <c r="B33" s="35" t="s">
        <v>540</v>
      </c>
      <c r="C33" s="35" t="s">
        <v>541</v>
      </c>
      <c r="D33" s="35"/>
      <c r="E33" s="35" t="s">
        <v>34</v>
      </c>
      <c r="F33" s="38" t="s">
        <v>542</v>
      </c>
      <c r="G33" s="39"/>
      <c r="H33" s="8"/>
      <c r="I33" s="23"/>
    </row>
    <row r="34" customFormat="false" ht="13.8" hidden="false" customHeight="false" outlineLevel="0" collapsed="false">
      <c r="A34" s="18" t="n">
        <v>15</v>
      </c>
      <c r="B34" s="35" t="s">
        <v>543</v>
      </c>
      <c r="C34" s="35" t="s">
        <v>544</v>
      </c>
      <c r="D34" s="35" t="s">
        <v>35</v>
      </c>
      <c r="E34" s="35" t="s">
        <v>38</v>
      </c>
      <c r="F34" s="38" t="s">
        <v>545</v>
      </c>
      <c r="G34" s="39"/>
      <c r="H34" s="8"/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72">
      <formula>MOD(ROW(),2)=0</formula>
    </cfRule>
    <cfRule type="expression" priority="3" aboveAverage="0" equalAverage="0" bottom="0" percent="0" rank="0" text="" dxfId="73">
      <formula>MOD(ROW(),2)=1</formula>
    </cfRule>
  </conditionalFormatting>
  <conditionalFormatting sqref="C20">
    <cfRule type="expression" priority="4" aboveAverage="0" equalAverage="0" bottom="0" percent="0" rank="0" text="" dxfId="74">
      <formula>MOD(ROW(),2)=0</formula>
    </cfRule>
    <cfRule type="expression" priority="5" aboveAverage="0" equalAverage="0" bottom="0" percent="0" rank="0" text="" dxfId="75">
      <formula>MOD(ROW(),2)=1</formula>
    </cfRule>
  </conditionalFormatting>
  <conditionalFormatting sqref="B20:E40">
    <cfRule type="expression" priority="6" aboveAverage="0" equalAverage="0" bottom="0" percent="0" rank="0" text="" dxfId="76">
      <formula>MOD(ROW(),2)=0</formula>
    </cfRule>
    <cfRule type="expression" priority="7" aboveAverage="0" equalAverage="0" bottom="0" percent="0" rank="0" text="" dxfId="7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546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n">
        <v>2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8181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3240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2662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578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0.396039603960396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4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3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547</v>
      </c>
      <c r="C20" s="35" t="s">
        <v>548</v>
      </c>
      <c r="D20" s="35" t="s">
        <v>33</v>
      </c>
      <c r="E20" s="35" t="s">
        <v>34</v>
      </c>
      <c r="F20" s="36" t="s">
        <v>549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550</v>
      </c>
      <c r="C21" s="35" t="s">
        <v>551</v>
      </c>
      <c r="D21" s="35"/>
      <c r="E21" s="35" t="s">
        <v>30</v>
      </c>
      <c r="F21" s="38" t="s">
        <v>552</v>
      </c>
      <c r="G21" s="39" t="s">
        <v>35</v>
      </c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553</v>
      </c>
      <c r="C22" s="35" t="s">
        <v>554</v>
      </c>
      <c r="D22" s="35" t="s">
        <v>33</v>
      </c>
      <c r="E22" s="35" t="s">
        <v>38</v>
      </c>
      <c r="F22" s="38" t="s">
        <v>555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556</v>
      </c>
      <c r="C23" s="35" t="s">
        <v>557</v>
      </c>
      <c r="D23" s="35"/>
      <c r="E23" s="35" t="s">
        <v>38</v>
      </c>
      <c r="F23" s="38" t="s">
        <v>558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559</v>
      </c>
      <c r="C24" s="35" t="s">
        <v>560</v>
      </c>
      <c r="D24" s="35"/>
      <c r="E24" s="35" t="s">
        <v>30</v>
      </c>
      <c r="F24" s="38" t="s">
        <v>561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562</v>
      </c>
      <c r="C25" s="35" t="s">
        <v>563</v>
      </c>
      <c r="D25" s="35" t="s">
        <v>33</v>
      </c>
      <c r="E25" s="35" t="s">
        <v>60</v>
      </c>
      <c r="F25" s="38" t="s">
        <v>564</v>
      </c>
      <c r="G25" s="39" t="s">
        <v>35</v>
      </c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318</v>
      </c>
      <c r="C26" s="35" t="s">
        <v>565</v>
      </c>
      <c r="D26" s="35" t="s">
        <v>33</v>
      </c>
      <c r="E26" s="35" t="s">
        <v>60</v>
      </c>
      <c r="F26" s="38" t="s">
        <v>561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321</v>
      </c>
      <c r="C27" s="35" t="s">
        <v>566</v>
      </c>
      <c r="D27" s="35"/>
      <c r="E27" s="35" t="s">
        <v>45</v>
      </c>
      <c r="F27" s="38" t="s">
        <v>567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568</v>
      </c>
      <c r="C28" s="35" t="s">
        <v>569</v>
      </c>
      <c r="D28" s="35"/>
      <c r="E28" s="35" t="s">
        <v>45</v>
      </c>
      <c r="F28" s="38" t="s">
        <v>570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114</v>
      </c>
      <c r="C29" s="35" t="s">
        <v>571</v>
      </c>
      <c r="D29" s="35" t="s">
        <v>33</v>
      </c>
      <c r="E29" s="35" t="s">
        <v>34</v>
      </c>
      <c r="F29" s="38" t="s">
        <v>572</v>
      </c>
      <c r="G29" s="39"/>
      <c r="H29" s="8"/>
      <c r="I29" s="23"/>
    </row>
    <row r="30" customFormat="false" ht="13.8" hidden="false" customHeight="false" outlineLevel="0" collapsed="false">
      <c r="A30" s="18" t="n">
        <v>11</v>
      </c>
      <c r="B30" s="40"/>
      <c r="C30" s="41"/>
      <c r="D30" s="41"/>
      <c r="E30" s="38"/>
      <c r="F30" s="38"/>
      <c r="G30" s="38"/>
      <c r="H30" s="8" t="s">
        <v>149</v>
      </c>
      <c r="I30" s="23"/>
    </row>
    <row r="31" customFormat="false" ht="13.8" hidden="false" customHeight="false" outlineLevel="0" collapsed="false">
      <c r="A31" s="18" t="n">
        <v>12</v>
      </c>
      <c r="B31" s="40"/>
      <c r="C31" s="41"/>
      <c r="D31" s="41"/>
      <c r="E31" s="38"/>
      <c r="F31" s="38"/>
      <c r="G31" s="38"/>
      <c r="H31" s="8" t="s">
        <v>150</v>
      </c>
      <c r="I31" s="23"/>
    </row>
    <row r="32" customFormat="false" ht="13.8" hidden="false" customHeight="false" outlineLevel="0" collapsed="false">
      <c r="A32" s="18" t="n">
        <v>13</v>
      </c>
      <c r="B32" s="40"/>
      <c r="C32" s="41"/>
      <c r="D32" s="41"/>
      <c r="E32" s="38"/>
      <c r="F32" s="38"/>
      <c r="G32" s="38"/>
      <c r="H32" s="8" t="s">
        <v>151</v>
      </c>
      <c r="I32" s="23"/>
    </row>
    <row r="33" customFormat="false" ht="13.8" hidden="false" customHeight="false" outlineLevel="0" collapsed="false">
      <c r="A33" s="18" t="n">
        <v>14</v>
      </c>
      <c r="B33" s="40"/>
      <c r="C33" s="41"/>
      <c r="D33" s="41"/>
      <c r="E33" s="38"/>
      <c r="F33" s="38"/>
      <c r="G33" s="38"/>
      <c r="H33" s="8" t="s">
        <v>152</v>
      </c>
      <c r="I33" s="23"/>
    </row>
    <row r="34" customFormat="false" ht="13.8" hidden="false" customHeight="false" outlineLevel="0" collapsed="false">
      <c r="A34" s="18" t="n">
        <v>15</v>
      </c>
      <c r="B34" s="40"/>
      <c r="C34" s="41"/>
      <c r="D34" s="41"/>
      <c r="E34" s="38"/>
      <c r="F34" s="38"/>
      <c r="G34" s="38"/>
      <c r="H34" s="8" t="s">
        <v>153</v>
      </c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78">
      <formula>MOD(ROW(),2)=0</formula>
    </cfRule>
    <cfRule type="expression" priority="3" aboveAverage="0" equalAverage="0" bottom="0" percent="0" rank="0" text="" dxfId="79">
      <formula>MOD(ROW(),2)=1</formula>
    </cfRule>
  </conditionalFormatting>
  <conditionalFormatting sqref="C20">
    <cfRule type="expression" priority="4" aboveAverage="0" equalAverage="0" bottom="0" percent="0" rank="0" text="" dxfId="80">
      <formula>MOD(ROW(),2)=0</formula>
    </cfRule>
    <cfRule type="expression" priority="5" aboveAverage="0" equalAverage="0" bottom="0" percent="0" rank="0" text="" dxfId="81">
      <formula>MOD(ROW(),2)=1</formula>
    </cfRule>
  </conditionalFormatting>
  <conditionalFormatting sqref="B20:E40">
    <cfRule type="expression" priority="6" aboveAverage="0" equalAverage="0" bottom="0" percent="0" rank="0" text="" dxfId="82">
      <formula>MOD(ROW(),2)=0</formula>
    </cfRule>
    <cfRule type="expression" priority="7" aboveAverage="0" equalAverage="0" bottom="0" percent="0" rank="0" text="" dxfId="8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8" activeCellId="0" sqref="D48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573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118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9388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4531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3591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940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0.482637409458884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12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7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254</v>
      </c>
      <c r="C20" s="35" t="s">
        <v>574</v>
      </c>
      <c r="D20" s="35" t="s">
        <v>33</v>
      </c>
      <c r="E20" s="35" t="s">
        <v>30</v>
      </c>
      <c r="F20" s="36" t="s">
        <v>575</v>
      </c>
      <c r="G20" s="37" t="s">
        <v>35</v>
      </c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576</v>
      </c>
      <c r="C21" s="35" t="s">
        <v>577</v>
      </c>
      <c r="D21" s="35"/>
      <c r="E21" s="35" t="s">
        <v>38</v>
      </c>
      <c r="F21" s="38" t="s">
        <v>578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579</v>
      </c>
      <c r="C22" s="35" t="s">
        <v>454</v>
      </c>
      <c r="D22" s="35" t="s">
        <v>33</v>
      </c>
      <c r="E22" s="35" t="s">
        <v>45</v>
      </c>
      <c r="F22" s="38" t="s">
        <v>580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581</v>
      </c>
      <c r="C23" s="35" t="s">
        <v>582</v>
      </c>
      <c r="D23" s="35"/>
      <c r="E23" s="35" t="s">
        <v>38</v>
      </c>
      <c r="F23" s="38" t="s">
        <v>583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584</v>
      </c>
      <c r="C24" s="35" t="s">
        <v>585</v>
      </c>
      <c r="D24" s="35"/>
      <c r="E24" s="35" t="s">
        <v>60</v>
      </c>
      <c r="F24" s="38" t="s">
        <v>262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586</v>
      </c>
      <c r="C25" s="35" t="s">
        <v>587</v>
      </c>
      <c r="D25" s="35"/>
      <c r="E25" s="35" t="s">
        <v>60</v>
      </c>
      <c r="F25" s="38" t="s">
        <v>588</v>
      </c>
      <c r="G25" s="39"/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589</v>
      </c>
      <c r="C26" s="35" t="s">
        <v>590</v>
      </c>
      <c r="D26" s="35"/>
      <c r="E26" s="35" t="s">
        <v>34</v>
      </c>
      <c r="F26" s="38" t="s">
        <v>591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592</v>
      </c>
      <c r="C27" s="35" t="s">
        <v>593</v>
      </c>
      <c r="D27" s="35" t="s">
        <v>33</v>
      </c>
      <c r="E27" s="35" t="s">
        <v>30</v>
      </c>
      <c r="F27" s="38" t="s">
        <v>594</v>
      </c>
      <c r="G27" s="39" t="s">
        <v>35</v>
      </c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595</v>
      </c>
      <c r="C28" s="35" t="s">
        <v>596</v>
      </c>
      <c r="D28" s="35"/>
      <c r="E28" s="35" t="s">
        <v>34</v>
      </c>
      <c r="F28" s="38" t="s">
        <v>597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40"/>
      <c r="C29" s="41"/>
      <c r="D29" s="41"/>
      <c r="E29" s="38"/>
      <c r="F29" s="38"/>
      <c r="G29" s="38"/>
      <c r="H29" s="8" t="s">
        <v>281</v>
      </c>
      <c r="I29" s="23"/>
    </row>
    <row r="30" customFormat="false" ht="13.8" hidden="false" customHeight="false" outlineLevel="0" collapsed="false">
      <c r="A30" s="18" t="n">
        <v>11</v>
      </c>
      <c r="B30" s="40"/>
      <c r="C30" s="41"/>
      <c r="D30" s="41"/>
      <c r="E30" s="38"/>
      <c r="F30" s="38"/>
      <c r="G30" s="38"/>
      <c r="H30" s="8" t="s">
        <v>149</v>
      </c>
      <c r="I30" s="23"/>
    </row>
    <row r="31" customFormat="false" ht="13.8" hidden="false" customHeight="false" outlineLevel="0" collapsed="false">
      <c r="A31" s="18" t="n">
        <v>12</v>
      </c>
      <c r="B31" s="40"/>
      <c r="C31" s="41"/>
      <c r="D31" s="41"/>
      <c r="E31" s="38"/>
      <c r="F31" s="38"/>
      <c r="G31" s="38"/>
      <c r="H31" s="8" t="s">
        <v>150</v>
      </c>
      <c r="I31" s="23"/>
    </row>
    <row r="32" customFormat="false" ht="13.8" hidden="false" customHeight="false" outlineLevel="0" collapsed="false">
      <c r="A32" s="18" t="n">
        <v>13</v>
      </c>
      <c r="B32" s="40"/>
      <c r="C32" s="41"/>
      <c r="D32" s="41"/>
      <c r="E32" s="38"/>
      <c r="F32" s="38"/>
      <c r="G32" s="38"/>
      <c r="H32" s="8" t="s">
        <v>151</v>
      </c>
      <c r="I32" s="23"/>
    </row>
    <row r="33" customFormat="false" ht="13.8" hidden="false" customHeight="false" outlineLevel="0" collapsed="false">
      <c r="A33" s="18" t="n">
        <v>14</v>
      </c>
      <c r="B33" s="40"/>
      <c r="C33" s="41"/>
      <c r="D33" s="41"/>
      <c r="E33" s="38"/>
      <c r="F33" s="38"/>
      <c r="G33" s="38"/>
      <c r="H33" s="8" t="s">
        <v>152</v>
      </c>
      <c r="I33" s="23"/>
    </row>
    <row r="34" customFormat="false" ht="13.8" hidden="false" customHeight="false" outlineLevel="0" collapsed="false">
      <c r="A34" s="18" t="n">
        <v>15</v>
      </c>
      <c r="B34" s="40"/>
      <c r="C34" s="41"/>
      <c r="D34" s="41"/>
      <c r="E34" s="38"/>
      <c r="F34" s="38"/>
      <c r="G34" s="38"/>
      <c r="H34" s="8" t="s">
        <v>153</v>
      </c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84">
      <formula>MOD(ROW(),2)=0</formula>
    </cfRule>
    <cfRule type="expression" priority="3" aboveAverage="0" equalAverage="0" bottom="0" percent="0" rank="0" text="" dxfId="85">
      <formula>MOD(ROW(),2)=1</formula>
    </cfRule>
  </conditionalFormatting>
  <conditionalFormatting sqref="C20">
    <cfRule type="expression" priority="4" aboveAverage="0" equalAverage="0" bottom="0" percent="0" rank="0" text="" dxfId="86">
      <formula>MOD(ROW(),2)=0</formula>
    </cfRule>
    <cfRule type="expression" priority="5" aboveAverage="0" equalAverage="0" bottom="0" percent="0" rank="0" text="" dxfId="87">
      <formula>MOD(ROW(),2)=1</formula>
    </cfRule>
  </conditionalFormatting>
  <conditionalFormatting sqref="B20:E40">
    <cfRule type="expression" priority="6" aboveAverage="0" equalAverage="0" bottom="0" percent="0" rank="0" text="" dxfId="88">
      <formula>MOD(ROW(),2)=0</formula>
    </cfRule>
    <cfRule type="expression" priority="7" aboveAverage="0" equalAverage="0" bottom="0" percent="0" rank="0" text="" dxfId="8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2" activeCellId="0" sqref="D32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598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14024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6231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5296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935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0.444309754706218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10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9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599</v>
      </c>
      <c r="C20" s="35" t="s">
        <v>600</v>
      </c>
      <c r="D20" s="35"/>
      <c r="E20" s="35" t="s">
        <v>45</v>
      </c>
      <c r="F20" s="36" t="s">
        <v>601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602</v>
      </c>
      <c r="C21" s="35" t="s">
        <v>603</v>
      </c>
      <c r="D21" s="35" t="s">
        <v>33</v>
      </c>
      <c r="E21" s="35" t="s">
        <v>38</v>
      </c>
      <c r="F21" s="38" t="s">
        <v>604</v>
      </c>
      <c r="G21" s="39" t="s">
        <v>605</v>
      </c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606</v>
      </c>
      <c r="C22" s="35" t="s">
        <v>607</v>
      </c>
      <c r="D22" s="35" t="s">
        <v>33</v>
      </c>
      <c r="E22" s="35" t="s">
        <v>45</v>
      </c>
      <c r="F22" s="38" t="s">
        <v>608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609</v>
      </c>
      <c r="C23" s="35" t="s">
        <v>610</v>
      </c>
      <c r="D23" s="35"/>
      <c r="E23" s="35" t="s">
        <v>34</v>
      </c>
      <c r="F23" s="38" t="s">
        <v>121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611</v>
      </c>
      <c r="C24" s="35" t="s">
        <v>612</v>
      </c>
      <c r="D24" s="35"/>
      <c r="E24" s="35" t="s">
        <v>30</v>
      </c>
      <c r="F24" s="38" t="s">
        <v>613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614</v>
      </c>
      <c r="C25" s="35" t="s">
        <v>615</v>
      </c>
      <c r="D25" s="35"/>
      <c r="E25" s="35" t="s">
        <v>38</v>
      </c>
      <c r="F25" s="38" t="s">
        <v>616</v>
      </c>
      <c r="G25" s="39" t="s">
        <v>605</v>
      </c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617</v>
      </c>
      <c r="C26" s="35" t="s">
        <v>618</v>
      </c>
      <c r="D26" s="35"/>
      <c r="E26" s="35" t="s">
        <v>38</v>
      </c>
      <c r="F26" s="38" t="s">
        <v>619</v>
      </c>
      <c r="G26" s="39" t="s">
        <v>605</v>
      </c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620</v>
      </c>
      <c r="C27" s="35" t="s">
        <v>621</v>
      </c>
      <c r="D27" s="35" t="s">
        <v>33</v>
      </c>
      <c r="E27" s="35" t="s">
        <v>34</v>
      </c>
      <c r="F27" s="38" t="s">
        <v>622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623</v>
      </c>
      <c r="C28" s="35" t="s">
        <v>624</v>
      </c>
      <c r="D28" s="35"/>
      <c r="E28" s="35" t="s">
        <v>45</v>
      </c>
      <c r="F28" s="38" t="s">
        <v>625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626</v>
      </c>
      <c r="C29" s="35" t="s">
        <v>627</v>
      </c>
      <c r="D29" s="35"/>
      <c r="E29" s="35" t="s">
        <v>60</v>
      </c>
      <c r="F29" s="38" t="s">
        <v>628</v>
      </c>
      <c r="G29" s="39"/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629</v>
      </c>
      <c r="C30" s="35" t="s">
        <v>630</v>
      </c>
      <c r="D30" s="35"/>
      <c r="E30" s="35" t="s">
        <v>60</v>
      </c>
      <c r="F30" s="38" t="s">
        <v>631</v>
      </c>
      <c r="G30" s="39"/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632</v>
      </c>
      <c r="C31" s="35" t="s">
        <v>633</v>
      </c>
      <c r="D31" s="35"/>
      <c r="E31" s="35" t="s">
        <v>30</v>
      </c>
      <c r="F31" s="38" t="s">
        <v>634</v>
      </c>
      <c r="G31" s="39"/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635</v>
      </c>
      <c r="C32" s="35" t="s">
        <v>636</v>
      </c>
      <c r="D32" s="35" t="s">
        <v>33</v>
      </c>
      <c r="E32" s="35" t="s">
        <v>60</v>
      </c>
      <c r="F32" s="38" t="s">
        <v>637</v>
      </c>
      <c r="G32" s="39"/>
      <c r="H32" s="8"/>
      <c r="I32" s="23"/>
    </row>
    <row r="33" customFormat="false" ht="13.8" hidden="false" customHeight="false" outlineLevel="0" collapsed="false">
      <c r="A33" s="18" t="n">
        <v>14</v>
      </c>
      <c r="B33" s="35" t="s">
        <v>638</v>
      </c>
      <c r="C33" s="35" t="s">
        <v>639</v>
      </c>
      <c r="D33" s="35"/>
      <c r="E33" s="35" t="s">
        <v>30</v>
      </c>
      <c r="F33" s="38" t="s">
        <v>640</v>
      </c>
      <c r="G33" s="39"/>
      <c r="H33" s="8"/>
      <c r="I33" s="23"/>
    </row>
    <row r="34" customFormat="false" ht="13.8" hidden="false" customHeight="false" outlineLevel="0" collapsed="false">
      <c r="A34" s="18" t="n">
        <v>15</v>
      </c>
      <c r="B34" s="35" t="s">
        <v>641</v>
      </c>
      <c r="C34" s="35" t="s">
        <v>642</v>
      </c>
      <c r="D34" s="35"/>
      <c r="E34" s="35" t="s">
        <v>34</v>
      </c>
      <c r="F34" s="38" t="s">
        <v>643</v>
      </c>
      <c r="G34" s="39"/>
      <c r="H34" s="8"/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90">
      <formula>MOD(ROW(),2)=0</formula>
    </cfRule>
    <cfRule type="expression" priority="3" aboveAverage="0" equalAverage="0" bottom="0" percent="0" rank="0" text="" dxfId="91">
      <formula>MOD(ROW(),2)=1</formula>
    </cfRule>
  </conditionalFormatting>
  <conditionalFormatting sqref="C20">
    <cfRule type="expression" priority="4" aboveAverage="0" equalAverage="0" bottom="0" percent="0" rank="0" text="" dxfId="92">
      <formula>MOD(ROW(),2)=0</formula>
    </cfRule>
    <cfRule type="expression" priority="5" aboveAverage="0" equalAverage="0" bottom="0" percent="0" rank="0" text="" dxfId="93">
      <formula>MOD(ROW(),2)=1</formula>
    </cfRule>
  </conditionalFormatting>
  <conditionalFormatting sqref="B20:E40">
    <cfRule type="expression" priority="6" aboveAverage="0" equalAverage="0" bottom="0" percent="0" rank="0" text="" dxfId="94">
      <formula>MOD(ROW(),2)=0</formula>
    </cfRule>
    <cfRule type="expression" priority="7" aboveAverage="0" equalAverage="0" bottom="0" percent="0" rank="0" text="" dxfId="9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3" activeCellId="0" sqref="E43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644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12884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7295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5774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1521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0.566206147159267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10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3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7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645</v>
      </c>
      <c r="C20" s="35" t="s">
        <v>646</v>
      </c>
      <c r="D20" s="35"/>
      <c r="E20" s="35" t="s">
        <v>30</v>
      </c>
      <c r="F20" s="36" t="s">
        <v>647</v>
      </c>
      <c r="G20" s="37" t="s">
        <v>35</v>
      </c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648</v>
      </c>
      <c r="C21" s="35" t="s">
        <v>649</v>
      </c>
      <c r="D21" s="35" t="s">
        <v>33</v>
      </c>
      <c r="E21" s="35" t="s">
        <v>34</v>
      </c>
      <c r="F21" s="38" t="s">
        <v>650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651</v>
      </c>
      <c r="C22" s="35" t="s">
        <v>652</v>
      </c>
      <c r="D22" s="35"/>
      <c r="E22" s="35" t="s">
        <v>60</v>
      </c>
      <c r="F22" s="38" t="s">
        <v>653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654</v>
      </c>
      <c r="C23" s="35" t="s">
        <v>655</v>
      </c>
      <c r="D23" s="35"/>
      <c r="E23" s="35" t="s">
        <v>30</v>
      </c>
      <c r="F23" s="38" t="s">
        <v>656</v>
      </c>
      <c r="G23" s="39" t="s">
        <v>35</v>
      </c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657</v>
      </c>
      <c r="C24" s="35" t="s">
        <v>658</v>
      </c>
      <c r="D24" s="35"/>
      <c r="E24" s="35" t="s">
        <v>38</v>
      </c>
      <c r="F24" s="38" t="s">
        <v>95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659</v>
      </c>
      <c r="C25" s="35" t="s">
        <v>660</v>
      </c>
      <c r="D25" s="35"/>
      <c r="E25" s="35" t="s">
        <v>60</v>
      </c>
      <c r="F25" s="38" t="s">
        <v>661</v>
      </c>
      <c r="G25" s="39"/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662</v>
      </c>
      <c r="C26" s="35" t="s">
        <v>448</v>
      </c>
      <c r="D26" s="35"/>
      <c r="E26" s="35" t="s">
        <v>60</v>
      </c>
      <c r="F26" s="38" t="s">
        <v>663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664</v>
      </c>
      <c r="C27" s="35" t="s">
        <v>665</v>
      </c>
      <c r="D27" s="35"/>
      <c r="E27" s="35" t="s">
        <v>34</v>
      </c>
      <c r="F27" s="38" t="s">
        <v>666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667</v>
      </c>
      <c r="C28" s="35" t="s">
        <v>668</v>
      </c>
      <c r="D28" s="35" t="s">
        <v>33</v>
      </c>
      <c r="E28" s="35" t="s">
        <v>38</v>
      </c>
      <c r="F28" s="38" t="s">
        <v>669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670</v>
      </c>
      <c r="C29" s="35" t="s">
        <v>671</v>
      </c>
      <c r="D29" s="35"/>
      <c r="E29" s="35" t="s">
        <v>30</v>
      </c>
      <c r="F29" s="38" t="s">
        <v>672</v>
      </c>
      <c r="G29" s="39" t="s">
        <v>35</v>
      </c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673</v>
      </c>
      <c r="C30" s="35" t="s">
        <v>674</v>
      </c>
      <c r="D30" s="35" t="s">
        <v>33</v>
      </c>
      <c r="E30" s="35" t="s">
        <v>45</v>
      </c>
      <c r="F30" s="38" t="s">
        <v>675</v>
      </c>
      <c r="G30" s="39"/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676</v>
      </c>
      <c r="C31" s="35" t="s">
        <v>677</v>
      </c>
      <c r="D31" s="35"/>
      <c r="E31" s="35" t="s">
        <v>34</v>
      </c>
      <c r="F31" s="38" t="s">
        <v>678</v>
      </c>
      <c r="G31" s="39"/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679</v>
      </c>
      <c r="C32" s="35" t="s">
        <v>680</v>
      </c>
      <c r="D32" s="35"/>
      <c r="E32" s="35" t="s">
        <v>38</v>
      </c>
      <c r="F32" s="38" t="s">
        <v>681</v>
      </c>
      <c r="G32" s="39"/>
      <c r="H32" s="8"/>
      <c r="I32" s="23"/>
    </row>
    <row r="33" customFormat="false" ht="13.8" hidden="false" customHeight="false" outlineLevel="0" collapsed="false">
      <c r="A33" s="18" t="n">
        <v>14</v>
      </c>
      <c r="B33" s="40"/>
      <c r="C33" s="41"/>
      <c r="D33" s="41"/>
      <c r="E33" s="38"/>
      <c r="F33" s="38"/>
      <c r="G33" s="38"/>
      <c r="H33" s="8" t="s">
        <v>152</v>
      </c>
      <c r="I33" s="23"/>
    </row>
    <row r="34" customFormat="false" ht="13.8" hidden="false" customHeight="false" outlineLevel="0" collapsed="false">
      <c r="A34" s="18" t="n">
        <v>15</v>
      </c>
      <c r="B34" s="40"/>
      <c r="C34" s="41"/>
      <c r="D34" s="41"/>
      <c r="E34" s="38"/>
      <c r="F34" s="38"/>
      <c r="G34" s="38"/>
      <c r="H34" s="8" t="s">
        <v>153</v>
      </c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96">
      <formula>MOD(ROW(),2)=0</formula>
    </cfRule>
    <cfRule type="expression" priority="3" aboveAverage="0" equalAverage="0" bottom="0" percent="0" rank="0" text="" dxfId="97">
      <formula>MOD(ROW(),2)=1</formula>
    </cfRule>
  </conditionalFormatting>
  <conditionalFormatting sqref="C20">
    <cfRule type="expression" priority="4" aboveAverage="0" equalAverage="0" bottom="0" percent="0" rank="0" text="" dxfId="98">
      <formula>MOD(ROW(),2)=0</formula>
    </cfRule>
    <cfRule type="expression" priority="5" aboveAverage="0" equalAverage="0" bottom="0" percent="0" rank="0" text="" dxfId="99">
      <formula>MOD(ROW(),2)=1</formula>
    </cfRule>
  </conditionalFormatting>
  <conditionalFormatting sqref="B20:E40">
    <cfRule type="expression" priority="6" aboveAverage="0" equalAverage="0" bottom="0" percent="0" rank="0" text="" dxfId="100">
      <formula>MOD(ROW(),2)=0</formula>
    </cfRule>
    <cfRule type="expression" priority="7" aboveAverage="0" equalAverage="0" bottom="0" percent="0" rank="0" text="" dxfId="10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682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118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9420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4284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3547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737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0.454777070063694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v>11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1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10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683</v>
      </c>
      <c r="C20" s="35" t="s">
        <v>684</v>
      </c>
      <c r="D20" s="35"/>
      <c r="E20" s="35" t="s">
        <v>60</v>
      </c>
      <c r="F20" s="36" t="s">
        <v>685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686</v>
      </c>
      <c r="C21" s="35" t="s">
        <v>687</v>
      </c>
      <c r="D21" s="35" t="s">
        <v>33</v>
      </c>
      <c r="E21" s="35" t="s">
        <v>34</v>
      </c>
      <c r="F21" s="38" t="s">
        <v>688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686</v>
      </c>
      <c r="C22" s="35" t="s">
        <v>689</v>
      </c>
      <c r="D22" s="35"/>
      <c r="E22" s="35" t="s">
        <v>34</v>
      </c>
      <c r="F22" s="38" t="s">
        <v>690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691</v>
      </c>
      <c r="C23" s="35" t="s">
        <v>692</v>
      </c>
      <c r="D23" s="35" t="s">
        <v>33</v>
      </c>
      <c r="E23" s="35" t="s">
        <v>693</v>
      </c>
      <c r="F23" s="38" t="s">
        <v>694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695</v>
      </c>
      <c r="C24" s="35" t="s">
        <v>696</v>
      </c>
      <c r="D24" s="35" t="s">
        <v>33</v>
      </c>
      <c r="E24" s="35" t="s">
        <v>45</v>
      </c>
      <c r="F24" s="38" t="s">
        <v>555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697</v>
      </c>
      <c r="C25" s="35" t="s">
        <v>698</v>
      </c>
      <c r="D25" s="35"/>
      <c r="E25" s="35" t="s">
        <v>45</v>
      </c>
      <c r="F25" s="38" t="s">
        <v>699</v>
      </c>
      <c r="G25" s="39"/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700</v>
      </c>
      <c r="C26" s="35" t="s">
        <v>701</v>
      </c>
      <c r="D26" s="35"/>
      <c r="E26" s="35" t="s">
        <v>38</v>
      </c>
      <c r="F26" s="38" t="s">
        <v>702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703</v>
      </c>
      <c r="C27" s="35" t="s">
        <v>704</v>
      </c>
      <c r="D27" s="35" t="s">
        <v>33</v>
      </c>
      <c r="E27" s="35" t="s">
        <v>38</v>
      </c>
      <c r="F27" s="38" t="s">
        <v>705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706</v>
      </c>
      <c r="C28" s="35" t="s">
        <v>707</v>
      </c>
      <c r="D28" s="35"/>
      <c r="E28" s="35" t="s">
        <v>30</v>
      </c>
      <c r="F28" s="38" t="s">
        <v>708</v>
      </c>
      <c r="G28" s="39" t="s">
        <v>35</v>
      </c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709</v>
      </c>
      <c r="C29" s="35" t="s">
        <v>710</v>
      </c>
      <c r="D29" s="35"/>
      <c r="E29" s="35" t="s">
        <v>30</v>
      </c>
      <c r="F29" s="38" t="s">
        <v>711</v>
      </c>
      <c r="G29" s="39" t="s">
        <v>35</v>
      </c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712</v>
      </c>
      <c r="C30" s="35" t="s">
        <v>713</v>
      </c>
      <c r="D30" s="35"/>
      <c r="E30" s="35" t="s">
        <v>60</v>
      </c>
      <c r="F30" s="38" t="s">
        <v>714</v>
      </c>
      <c r="G30" s="39"/>
      <c r="H30" s="8"/>
      <c r="I30" s="23"/>
    </row>
    <row r="31" customFormat="false" ht="13.8" hidden="false" customHeight="false" outlineLevel="0" collapsed="false">
      <c r="A31" s="18" t="n">
        <v>12</v>
      </c>
      <c r="B31" s="40"/>
      <c r="C31" s="41"/>
      <c r="D31" s="41"/>
      <c r="E31" s="38"/>
      <c r="F31" s="38"/>
      <c r="G31" s="38"/>
      <c r="H31" s="8" t="s">
        <v>150</v>
      </c>
      <c r="I31" s="23"/>
    </row>
    <row r="32" customFormat="false" ht="13.8" hidden="false" customHeight="false" outlineLevel="0" collapsed="false">
      <c r="A32" s="18" t="n">
        <v>13</v>
      </c>
      <c r="B32" s="40"/>
      <c r="C32" s="41"/>
      <c r="D32" s="41"/>
      <c r="E32" s="38"/>
      <c r="F32" s="38"/>
      <c r="G32" s="38"/>
      <c r="H32" s="8" t="s">
        <v>151</v>
      </c>
      <c r="I32" s="23"/>
    </row>
    <row r="33" customFormat="false" ht="13.8" hidden="false" customHeight="false" outlineLevel="0" collapsed="false">
      <c r="A33" s="18" t="n">
        <v>14</v>
      </c>
      <c r="B33" s="40"/>
      <c r="C33" s="41"/>
      <c r="D33" s="41"/>
      <c r="E33" s="38"/>
      <c r="F33" s="38"/>
      <c r="G33" s="38"/>
      <c r="H33" s="8" t="s">
        <v>152</v>
      </c>
      <c r="I33" s="23"/>
    </row>
    <row r="34" customFormat="false" ht="13.8" hidden="false" customHeight="false" outlineLevel="0" collapsed="false">
      <c r="A34" s="18" t="n">
        <v>15</v>
      </c>
      <c r="B34" s="40"/>
      <c r="C34" s="41"/>
      <c r="D34" s="41"/>
      <c r="E34" s="38"/>
      <c r="F34" s="38"/>
      <c r="G34" s="38"/>
      <c r="H34" s="8" t="s">
        <v>153</v>
      </c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102">
      <formula>MOD(ROW(),2)=0</formula>
    </cfRule>
    <cfRule type="expression" priority="3" aboveAverage="0" equalAverage="0" bottom="0" percent="0" rank="0" text="" dxfId="103">
      <formula>MOD(ROW(),2)=1</formula>
    </cfRule>
  </conditionalFormatting>
  <conditionalFormatting sqref="C20">
    <cfRule type="expression" priority="4" aboveAverage="0" equalAverage="0" bottom="0" percent="0" rank="0" text="" dxfId="104">
      <formula>MOD(ROW(),2)=0</formula>
    </cfRule>
    <cfRule type="expression" priority="5" aboveAverage="0" equalAverage="0" bottom="0" percent="0" rank="0" text="" dxfId="105">
      <formula>MOD(ROW(),2)=1</formula>
    </cfRule>
  </conditionalFormatting>
  <conditionalFormatting sqref="B20:E40">
    <cfRule type="expression" priority="6" aboveAverage="0" equalAverage="0" bottom="0" percent="0" rank="0" text="" dxfId="106">
      <formula>MOD(ROW(),2)=0</formula>
    </cfRule>
    <cfRule type="expression" priority="7" aboveAverage="0" equalAverage="0" bottom="0" percent="0" rank="0" text="" dxfId="10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5" activeCellId="0" sqref="D45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715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12487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6715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5377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1338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0.537759269640426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8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2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6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0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716</v>
      </c>
      <c r="C20" s="35" t="s">
        <v>717</v>
      </c>
      <c r="D20" s="35"/>
      <c r="E20" s="35" t="s">
        <v>38</v>
      </c>
      <c r="F20" s="36" t="s">
        <v>718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719</v>
      </c>
      <c r="C21" s="35" t="s">
        <v>720</v>
      </c>
      <c r="D21" s="35"/>
      <c r="E21" s="35" t="s">
        <v>60</v>
      </c>
      <c r="F21" s="38" t="s">
        <v>721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722</v>
      </c>
      <c r="C22" s="35" t="s">
        <v>448</v>
      </c>
      <c r="D22" s="35"/>
      <c r="E22" s="35" t="s">
        <v>34</v>
      </c>
      <c r="F22" s="38" t="s">
        <v>723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724</v>
      </c>
      <c r="C23" s="35" t="s">
        <v>725</v>
      </c>
      <c r="D23" s="35" t="s">
        <v>33</v>
      </c>
      <c r="E23" s="35" t="s">
        <v>38</v>
      </c>
      <c r="F23" s="38" t="s">
        <v>726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727</v>
      </c>
      <c r="C24" s="35" t="s">
        <v>728</v>
      </c>
      <c r="D24" s="35" t="s">
        <v>33</v>
      </c>
      <c r="E24" s="35" t="s">
        <v>34</v>
      </c>
      <c r="F24" s="38" t="s">
        <v>729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730</v>
      </c>
      <c r="C25" s="35" t="s">
        <v>731</v>
      </c>
      <c r="D25" s="35"/>
      <c r="E25" s="35" t="s">
        <v>30</v>
      </c>
      <c r="F25" s="38" t="s">
        <v>732</v>
      </c>
      <c r="G25" s="39" t="s">
        <v>35</v>
      </c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733</v>
      </c>
      <c r="C26" s="35" t="s">
        <v>734</v>
      </c>
      <c r="D26" s="35" t="s">
        <v>33</v>
      </c>
      <c r="E26" s="35" t="s">
        <v>30</v>
      </c>
      <c r="F26" s="38" t="s">
        <v>735</v>
      </c>
      <c r="G26" s="39" t="s">
        <v>35</v>
      </c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736</v>
      </c>
      <c r="C27" s="35" t="s">
        <v>737</v>
      </c>
      <c r="D27" s="35" t="s">
        <v>33</v>
      </c>
      <c r="E27" s="35" t="s">
        <v>45</v>
      </c>
      <c r="F27" s="38" t="s">
        <v>738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739</v>
      </c>
      <c r="C28" s="35" t="s">
        <v>740</v>
      </c>
      <c r="D28" s="35"/>
      <c r="E28" s="35" t="s">
        <v>60</v>
      </c>
      <c r="F28" s="38" t="s">
        <v>280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741</v>
      </c>
      <c r="C29" s="35" t="s">
        <v>742</v>
      </c>
      <c r="D29" s="35"/>
      <c r="E29" s="35" t="s">
        <v>60</v>
      </c>
      <c r="F29" s="38" t="s">
        <v>743</v>
      </c>
      <c r="G29" s="39"/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744</v>
      </c>
      <c r="C30" s="35" t="s">
        <v>358</v>
      </c>
      <c r="D30" s="35"/>
      <c r="E30" s="35" t="s">
        <v>45</v>
      </c>
      <c r="F30" s="38" t="s">
        <v>745</v>
      </c>
      <c r="G30" s="39"/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108</v>
      </c>
      <c r="C31" s="35" t="s">
        <v>746</v>
      </c>
      <c r="D31" s="35"/>
      <c r="E31" s="35" t="s">
        <v>38</v>
      </c>
      <c r="F31" s="38" t="s">
        <v>747</v>
      </c>
      <c r="G31" s="39"/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748</v>
      </c>
      <c r="C32" s="35" t="s">
        <v>749</v>
      </c>
      <c r="D32" s="35" t="s">
        <v>33</v>
      </c>
      <c r="E32" s="35" t="s">
        <v>30</v>
      </c>
      <c r="F32" s="38" t="s">
        <v>750</v>
      </c>
      <c r="G32" s="39" t="s">
        <v>35</v>
      </c>
      <c r="H32" s="8"/>
      <c r="I32" s="23"/>
    </row>
    <row r="33" customFormat="false" ht="13.8" hidden="false" customHeight="false" outlineLevel="0" collapsed="false">
      <c r="A33" s="18" t="n">
        <v>14</v>
      </c>
      <c r="B33" s="35" t="s">
        <v>751</v>
      </c>
      <c r="C33" s="35" t="s">
        <v>752</v>
      </c>
      <c r="D33" s="35"/>
      <c r="E33" s="35" t="s">
        <v>34</v>
      </c>
      <c r="F33" s="38" t="s">
        <v>753</v>
      </c>
      <c r="G33" s="39"/>
      <c r="H33" s="8"/>
      <c r="I33" s="23"/>
    </row>
    <row r="34" customFormat="false" ht="13.8" hidden="false" customHeight="false" outlineLevel="0" collapsed="false">
      <c r="A34" s="18" t="n">
        <v>15</v>
      </c>
      <c r="B34" s="35" t="s">
        <v>754</v>
      </c>
      <c r="C34" s="35" t="s">
        <v>755</v>
      </c>
      <c r="D34" s="35" t="s">
        <v>33</v>
      </c>
      <c r="E34" s="35" t="s">
        <v>45</v>
      </c>
      <c r="F34" s="38" t="s">
        <v>756</v>
      </c>
      <c r="G34" s="39"/>
      <c r="H34" s="8"/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108">
      <formula>MOD(ROW(),2)=0</formula>
    </cfRule>
    <cfRule type="expression" priority="3" aboveAverage="0" equalAverage="0" bottom="0" percent="0" rank="0" text="" dxfId="109">
      <formula>MOD(ROW(),2)=1</formula>
    </cfRule>
  </conditionalFormatting>
  <conditionalFormatting sqref="C20">
    <cfRule type="expression" priority="4" aboveAverage="0" equalAverage="0" bottom="0" percent="0" rank="0" text="" dxfId="110">
      <formula>MOD(ROW(),2)=0</formula>
    </cfRule>
    <cfRule type="expression" priority="5" aboveAverage="0" equalAverage="0" bottom="0" percent="0" rank="0" text="" dxfId="111">
      <formula>MOD(ROW(),2)=1</formula>
    </cfRule>
  </conditionalFormatting>
  <conditionalFormatting sqref="B20:E40">
    <cfRule type="expression" priority="6" aboveAverage="0" equalAverage="0" bottom="0" percent="0" rank="0" text="" dxfId="112">
      <formula>MOD(ROW(),2)=0</formula>
    </cfRule>
    <cfRule type="expression" priority="7" aboveAverage="0" equalAverage="0" bottom="0" percent="0" rank="0" text="" dxfId="11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2" activeCellId="0" sqref="D42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757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13706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5562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4348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1214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0.405807675470597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10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5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5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758</v>
      </c>
      <c r="C20" s="35" t="s">
        <v>759</v>
      </c>
      <c r="D20" s="35"/>
      <c r="E20" s="35" t="s">
        <v>38</v>
      </c>
      <c r="F20" s="36" t="s">
        <v>760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761</v>
      </c>
      <c r="C21" s="35" t="s">
        <v>762</v>
      </c>
      <c r="D21" s="35" t="s">
        <v>33</v>
      </c>
      <c r="E21" s="35" t="s">
        <v>30</v>
      </c>
      <c r="F21" s="38" t="s">
        <v>763</v>
      </c>
      <c r="G21" s="39" t="s">
        <v>35</v>
      </c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216</v>
      </c>
      <c r="C22" s="35" t="s">
        <v>764</v>
      </c>
      <c r="D22" s="35" t="s">
        <v>33</v>
      </c>
      <c r="E22" s="35" t="s">
        <v>34</v>
      </c>
      <c r="F22" s="38" t="s">
        <v>765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93</v>
      </c>
      <c r="C23" s="35" t="s">
        <v>766</v>
      </c>
      <c r="D23" s="35"/>
      <c r="E23" s="35" t="s">
        <v>34</v>
      </c>
      <c r="F23" s="38" t="s">
        <v>767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768</v>
      </c>
      <c r="C24" s="35" t="s">
        <v>769</v>
      </c>
      <c r="D24" s="35"/>
      <c r="E24" s="35" t="s">
        <v>38</v>
      </c>
      <c r="F24" s="38" t="s">
        <v>770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771</v>
      </c>
      <c r="C25" s="35" t="s">
        <v>772</v>
      </c>
      <c r="D25" s="35" t="s">
        <v>33</v>
      </c>
      <c r="E25" s="35" t="s">
        <v>45</v>
      </c>
      <c r="F25" s="38" t="s">
        <v>773</v>
      </c>
      <c r="G25" s="39"/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774</v>
      </c>
      <c r="C26" s="35" t="s">
        <v>775</v>
      </c>
      <c r="D26" s="35"/>
      <c r="E26" s="35" t="s">
        <v>34</v>
      </c>
      <c r="F26" s="38" t="s">
        <v>765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776</v>
      </c>
      <c r="C27" s="35" t="s">
        <v>777</v>
      </c>
      <c r="D27" s="35"/>
      <c r="E27" s="35" t="s">
        <v>45</v>
      </c>
      <c r="F27" s="38" t="s">
        <v>678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778</v>
      </c>
      <c r="C28" s="35" t="s">
        <v>779</v>
      </c>
      <c r="D28" s="35"/>
      <c r="E28" s="35" t="s">
        <v>60</v>
      </c>
      <c r="F28" s="38" t="s">
        <v>780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781</v>
      </c>
      <c r="C29" s="35" t="s">
        <v>782</v>
      </c>
      <c r="D29" s="35"/>
      <c r="E29" s="35" t="s">
        <v>60</v>
      </c>
      <c r="F29" s="38" t="s">
        <v>783</v>
      </c>
      <c r="G29" s="39"/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784</v>
      </c>
      <c r="C30" s="35" t="s">
        <v>785</v>
      </c>
      <c r="D30" s="35"/>
      <c r="E30" s="35" t="s">
        <v>45</v>
      </c>
      <c r="F30" s="38" t="s">
        <v>786</v>
      </c>
      <c r="G30" s="39"/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787</v>
      </c>
      <c r="C31" s="35" t="s">
        <v>788</v>
      </c>
      <c r="D31" s="35" t="s">
        <v>33</v>
      </c>
      <c r="E31" s="35" t="s">
        <v>60</v>
      </c>
      <c r="F31" s="38" t="s">
        <v>789</v>
      </c>
      <c r="G31" s="39"/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790</v>
      </c>
      <c r="C32" s="35" t="s">
        <v>791</v>
      </c>
      <c r="D32" s="35"/>
      <c r="E32" s="35" t="s">
        <v>30</v>
      </c>
      <c r="F32" s="38" t="s">
        <v>792</v>
      </c>
      <c r="G32" s="39" t="s">
        <v>35</v>
      </c>
      <c r="H32" s="8"/>
      <c r="I32" s="23"/>
    </row>
    <row r="33" customFormat="false" ht="13.8" hidden="false" customHeight="false" outlineLevel="0" collapsed="false">
      <c r="A33" s="18" t="n">
        <v>14</v>
      </c>
      <c r="B33" s="35" t="s">
        <v>793</v>
      </c>
      <c r="C33" s="35" t="s">
        <v>794</v>
      </c>
      <c r="D33" s="35"/>
      <c r="E33" s="35" t="s">
        <v>30</v>
      </c>
      <c r="F33" s="38" t="s">
        <v>795</v>
      </c>
      <c r="G33" s="39" t="s">
        <v>35</v>
      </c>
      <c r="H33" s="8"/>
      <c r="I33" s="23"/>
    </row>
    <row r="34" customFormat="false" ht="13.8" hidden="false" customHeight="false" outlineLevel="0" collapsed="false">
      <c r="A34" s="18" t="n">
        <v>15</v>
      </c>
      <c r="B34" s="35" t="s">
        <v>796</v>
      </c>
      <c r="C34" s="35" t="s">
        <v>797</v>
      </c>
      <c r="D34" s="35"/>
      <c r="E34" s="35" t="s">
        <v>38</v>
      </c>
      <c r="F34" s="38" t="s">
        <v>798</v>
      </c>
      <c r="G34" s="39"/>
      <c r="H34" s="8"/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114">
      <formula>MOD(ROW(),2)=0</formula>
    </cfRule>
    <cfRule type="expression" priority="3" aboveAverage="0" equalAverage="0" bottom="0" percent="0" rank="0" text="" dxfId="115">
      <formula>MOD(ROW(),2)=1</formula>
    </cfRule>
  </conditionalFormatting>
  <conditionalFormatting sqref="C20">
    <cfRule type="expression" priority="4" aboveAverage="0" equalAverage="0" bottom="0" percent="0" rank="0" text="" dxfId="116">
      <formula>MOD(ROW(),2)=0</formula>
    </cfRule>
    <cfRule type="expression" priority="5" aboveAverage="0" equalAverage="0" bottom="0" percent="0" rank="0" text="" dxfId="117">
      <formula>MOD(ROW(),2)=1</formula>
    </cfRule>
  </conditionalFormatting>
  <conditionalFormatting sqref="B20:E40">
    <cfRule type="expression" priority="6" aboveAverage="0" equalAverage="0" bottom="0" percent="0" rank="0" text="" dxfId="118">
      <formula>MOD(ROW(),2)=0</formula>
    </cfRule>
    <cfRule type="expression" priority="7" aboveAverage="0" equalAverage="0" bottom="0" percent="0" rank="0" text="" dxfId="11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3" activeCellId="0" sqref="D43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799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11690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4306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3359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947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0.368349016253208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6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4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2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800</v>
      </c>
      <c r="C20" s="35" t="s">
        <v>801</v>
      </c>
      <c r="D20" s="35"/>
      <c r="E20" s="35" t="s">
        <v>30</v>
      </c>
      <c r="F20" s="36" t="s">
        <v>802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803</v>
      </c>
      <c r="C21" s="35" t="s">
        <v>804</v>
      </c>
      <c r="D21" s="35" t="s">
        <v>33</v>
      </c>
      <c r="E21" s="35" t="s">
        <v>45</v>
      </c>
      <c r="F21" s="38" t="s">
        <v>805</v>
      </c>
      <c r="G21" s="39"/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806</v>
      </c>
      <c r="C22" s="35" t="s">
        <v>807</v>
      </c>
      <c r="D22" s="35" t="s">
        <v>33</v>
      </c>
      <c r="E22" s="35" t="s">
        <v>34</v>
      </c>
      <c r="F22" s="38" t="s">
        <v>808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809</v>
      </c>
      <c r="C23" s="35" t="s">
        <v>810</v>
      </c>
      <c r="D23" s="35"/>
      <c r="E23" s="35" t="s">
        <v>60</v>
      </c>
      <c r="F23" s="38" t="s">
        <v>811</v>
      </c>
      <c r="G23" s="39" t="s">
        <v>605</v>
      </c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812</v>
      </c>
      <c r="C24" s="35" t="s">
        <v>813</v>
      </c>
      <c r="D24" s="35"/>
      <c r="E24" s="35" t="s">
        <v>60</v>
      </c>
      <c r="F24" s="38" t="s">
        <v>814</v>
      </c>
      <c r="G24" s="39" t="s">
        <v>605</v>
      </c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815</v>
      </c>
      <c r="C25" s="35" t="s">
        <v>816</v>
      </c>
      <c r="D25" s="35"/>
      <c r="E25" s="35" t="s">
        <v>34</v>
      </c>
      <c r="F25" s="38" t="s">
        <v>817</v>
      </c>
      <c r="G25" s="39"/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818</v>
      </c>
      <c r="C26" s="35" t="s">
        <v>819</v>
      </c>
      <c r="D26" s="35"/>
      <c r="E26" s="35" t="s">
        <v>30</v>
      </c>
      <c r="F26" s="38" t="s">
        <v>820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821</v>
      </c>
      <c r="C27" s="35" t="s">
        <v>822</v>
      </c>
      <c r="D27" s="35" t="s">
        <v>33</v>
      </c>
      <c r="E27" s="35" t="s">
        <v>38</v>
      </c>
      <c r="F27" s="38" t="s">
        <v>823</v>
      </c>
      <c r="G27" s="39"/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416</v>
      </c>
      <c r="C28" s="35" t="s">
        <v>824</v>
      </c>
      <c r="D28" s="35"/>
      <c r="E28" s="35" t="s">
        <v>38</v>
      </c>
      <c r="F28" s="38" t="s">
        <v>825</v>
      </c>
      <c r="G28" s="39"/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416</v>
      </c>
      <c r="C29" s="35" t="s">
        <v>826</v>
      </c>
      <c r="D29" s="35" t="s">
        <v>33</v>
      </c>
      <c r="E29" s="35" t="s">
        <v>38</v>
      </c>
      <c r="F29" s="38" t="s">
        <v>827</v>
      </c>
      <c r="G29" s="39"/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828</v>
      </c>
      <c r="C30" s="35" t="s">
        <v>829</v>
      </c>
      <c r="D30" s="35"/>
      <c r="E30" s="35" t="s">
        <v>60</v>
      </c>
      <c r="F30" s="38" t="s">
        <v>830</v>
      </c>
      <c r="G30" s="39" t="s">
        <v>605</v>
      </c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831</v>
      </c>
      <c r="C31" s="35" t="s">
        <v>832</v>
      </c>
      <c r="D31" s="35"/>
      <c r="E31" s="35" t="s">
        <v>34</v>
      </c>
      <c r="F31" s="38" t="s">
        <v>833</v>
      </c>
      <c r="G31" s="39"/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61</v>
      </c>
      <c r="C32" s="35" t="s">
        <v>834</v>
      </c>
      <c r="D32" s="35"/>
      <c r="E32" s="35" t="s">
        <v>30</v>
      </c>
      <c r="F32" s="38" t="s">
        <v>835</v>
      </c>
      <c r="G32" s="39"/>
      <c r="H32" s="8"/>
      <c r="I32" s="23"/>
    </row>
    <row r="33" customFormat="false" ht="13.8" hidden="false" customHeight="false" outlineLevel="0" collapsed="false">
      <c r="A33" s="18" t="n">
        <v>14</v>
      </c>
      <c r="B33" s="40"/>
      <c r="C33" s="41"/>
      <c r="D33" s="41"/>
      <c r="E33" s="38"/>
      <c r="F33" s="38"/>
      <c r="G33" s="38"/>
      <c r="H33" s="8" t="s">
        <v>152</v>
      </c>
      <c r="I33" s="23"/>
    </row>
    <row r="34" customFormat="false" ht="13.8" hidden="false" customHeight="false" outlineLevel="0" collapsed="false">
      <c r="A34" s="18" t="n">
        <v>15</v>
      </c>
      <c r="B34" s="40"/>
      <c r="C34" s="41"/>
      <c r="D34" s="41"/>
      <c r="E34" s="38"/>
      <c r="F34" s="38"/>
      <c r="G34" s="38"/>
      <c r="H34" s="8" t="s">
        <v>153</v>
      </c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120">
      <formula>MOD(ROW(),2)=0</formula>
    </cfRule>
    <cfRule type="expression" priority="3" aboveAverage="0" equalAverage="0" bottom="0" percent="0" rank="0" text="" dxfId="121">
      <formula>MOD(ROW(),2)=1</formula>
    </cfRule>
  </conditionalFormatting>
  <conditionalFormatting sqref="C20">
    <cfRule type="expression" priority="4" aboveAverage="0" equalAverage="0" bottom="0" percent="0" rank="0" text="" dxfId="122">
      <formula>MOD(ROW(),2)=0</formula>
    </cfRule>
    <cfRule type="expression" priority="5" aboveAverage="0" equalAverage="0" bottom="0" percent="0" rank="0" text="" dxfId="123">
      <formula>MOD(ROW(),2)=1</formula>
    </cfRule>
  </conditionalFormatting>
  <conditionalFormatting sqref="B20:E40">
    <cfRule type="expression" priority="6" aboveAverage="0" equalAverage="0" bottom="0" percent="0" rank="0" text="" dxfId="124">
      <formula>MOD(ROW(),2)=0</formula>
    </cfRule>
    <cfRule type="expression" priority="7" aboveAverage="0" equalAverage="0" bottom="0" percent="0" rank="0" text="" dxfId="12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2" activeCellId="0" sqref="F42"/>
    </sheetView>
  </sheetViews>
  <sheetFormatPr defaultColWidth="11.4453125" defaultRowHeight="12.75" customHeight="false" zeroHeight="false" outlineLevelRow="0" outlineLevelCol="0"/>
  <cols>
    <col collapsed="false" customWidth="true" hidden="false" outlineLevel="0" max="1" min="1" style="0" width="3.44"/>
    <col collapsed="false" customWidth="true" hidden="false" outlineLevel="0" max="2" min="2" style="0" width="20.44"/>
    <col collapsed="false" customWidth="true" hidden="false" outlineLevel="0" max="3" min="3" style="0" width="12.22"/>
    <col collapsed="false" customWidth="true" hidden="false" outlineLevel="0" max="4" min="4" style="0" width="22.77"/>
    <col collapsed="false" customWidth="true" hidden="false" outlineLevel="0" max="5" min="5" style="0" width="18.56"/>
    <col collapsed="false" customWidth="true" hidden="false" outlineLevel="0" max="6" min="6" style="0" width="32.77"/>
    <col collapsed="false" customWidth="true" hidden="false" outlineLevel="0" max="7" min="7" style="0" width="29.21"/>
    <col collapsed="false" customWidth="true" hidden="false" outlineLevel="0" max="8" min="8" style="0" width="250.78"/>
    <col collapsed="false" customWidth="true" hidden="false" outlineLevel="0" max="9" min="9" style="0" width="29.21"/>
  </cols>
  <sheetData>
    <row r="1" customFormat="false" ht="15.75" hidden="false" customHeight="true" outlineLevel="0" collapsed="false">
      <c r="A1" s="1" t="s">
        <v>0</v>
      </c>
    </row>
    <row r="2" customFormat="false" ht="12.7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</row>
    <row r="4" customFormat="false" ht="13.8" hidden="false" customHeight="false" outlineLevel="0" collapsed="false">
      <c r="A4" s="4" t="s">
        <v>3</v>
      </c>
      <c r="B4" s="5"/>
      <c r="C4" s="5"/>
      <c r="D4" s="5"/>
      <c r="E4" s="5"/>
      <c r="F4" s="5"/>
      <c r="G4" s="6" t="s">
        <v>4</v>
      </c>
    </row>
    <row r="5" customFormat="false" ht="13.8" hidden="false" customHeight="false" outlineLevel="0" collapsed="false">
      <c r="A5" s="4" t="s">
        <v>5</v>
      </c>
      <c r="B5" s="5"/>
      <c r="C5" s="5"/>
      <c r="D5" s="5"/>
      <c r="E5" s="5"/>
      <c r="F5" s="5"/>
      <c r="G5" s="7" t="s">
        <v>836</v>
      </c>
      <c r="I5" s="8" t="s">
        <v>7</v>
      </c>
    </row>
    <row r="6" customFormat="false" ht="13.8" hidden="false" customHeight="false" outlineLevel="0" collapsed="false">
      <c r="A6" s="4" t="s">
        <v>8</v>
      </c>
      <c r="B6" s="5"/>
      <c r="C6" s="5"/>
      <c r="D6" s="5"/>
      <c r="E6" s="5"/>
      <c r="F6" s="5"/>
      <c r="G6" s="7" t="s">
        <v>9</v>
      </c>
    </row>
    <row r="7" customFormat="false" ht="13.8" hidden="false" customHeight="false" outlineLevel="0" collapsed="false">
      <c r="A7" s="4" t="s">
        <v>10</v>
      </c>
      <c r="B7" s="5"/>
      <c r="C7" s="5"/>
      <c r="D7" s="5"/>
      <c r="E7" s="5"/>
      <c r="F7" s="5"/>
      <c r="G7" s="9" t="n">
        <v>11487</v>
      </c>
    </row>
    <row r="8" customFormat="false" ht="13.8" hidden="false" customHeight="false" outlineLevel="0" collapsed="false">
      <c r="A8" s="4" t="s">
        <v>11</v>
      </c>
      <c r="B8" s="5"/>
      <c r="C8" s="5"/>
      <c r="D8" s="5"/>
      <c r="E8" s="5"/>
      <c r="F8" s="5"/>
      <c r="G8" s="9" t="n">
        <v>6478</v>
      </c>
    </row>
    <row r="9" customFormat="false" ht="13.8" hidden="false" customHeight="false" outlineLevel="0" collapsed="false">
      <c r="A9" s="4"/>
      <c r="B9" s="5" t="s">
        <v>12</v>
      </c>
      <c r="C9" s="5"/>
      <c r="D9" s="5"/>
      <c r="E9" s="5"/>
      <c r="F9" s="5"/>
      <c r="G9" s="9" t="n">
        <f aca="false">G8-G10</f>
        <v>5157</v>
      </c>
    </row>
    <row r="10" customFormat="false" ht="13.8" hidden="false" customHeight="false" outlineLevel="0" collapsed="false">
      <c r="A10" s="4"/>
      <c r="B10" s="5" t="s">
        <v>13</v>
      </c>
      <c r="C10" s="5"/>
      <c r="D10" s="5"/>
      <c r="E10" s="5"/>
      <c r="F10" s="5"/>
      <c r="G10" s="10" t="n">
        <v>1321</v>
      </c>
    </row>
    <row r="11" customFormat="false" ht="13.8" hidden="false" customHeight="false" outlineLevel="0" collapsed="false">
      <c r="A11" s="4"/>
      <c r="B11" s="5" t="s">
        <v>14</v>
      </c>
      <c r="C11" s="5"/>
      <c r="D11" s="5"/>
      <c r="E11" s="5"/>
      <c r="F11" s="5"/>
      <c r="G11" s="11" t="n">
        <f aca="false">G8/G7</f>
        <v>0.56394184730565</v>
      </c>
    </row>
    <row r="12" customFormat="false" ht="13.8" hidden="false" customHeight="false" outlineLevel="0" collapsed="false">
      <c r="A12" s="4" t="s">
        <v>15</v>
      </c>
      <c r="B12" s="5"/>
      <c r="C12" s="5"/>
      <c r="D12" s="5"/>
      <c r="E12" s="5"/>
      <c r="F12" s="5"/>
      <c r="G12" s="10" t="n">
        <f aca="false">SUM(G13:G17)</f>
        <v>6</v>
      </c>
    </row>
    <row r="13" customFormat="false" ht="13.8" hidden="false" customHeight="false" outlineLevel="0" collapsed="false">
      <c r="A13" s="4"/>
      <c r="B13" s="5" t="s">
        <v>16</v>
      </c>
      <c r="C13" s="5"/>
      <c r="D13" s="5"/>
      <c r="E13" s="5"/>
      <c r="F13" s="5"/>
      <c r="G13" s="9" t="n">
        <v>0</v>
      </c>
    </row>
    <row r="14" customFormat="false" ht="13.8" hidden="false" customHeight="false" outlineLevel="0" collapsed="false">
      <c r="A14" s="4"/>
      <c r="B14" s="5" t="s">
        <v>17</v>
      </c>
      <c r="C14" s="5"/>
      <c r="D14" s="5"/>
      <c r="E14" s="5"/>
      <c r="F14" s="5"/>
      <c r="G14" s="9" t="n">
        <v>4</v>
      </c>
    </row>
    <row r="15" customFormat="false" ht="13.8" hidden="false" customHeight="false" outlineLevel="0" collapsed="false">
      <c r="A15" s="4"/>
      <c r="B15" s="5" t="s">
        <v>18</v>
      </c>
      <c r="C15" s="5"/>
      <c r="D15" s="5"/>
      <c r="E15" s="5"/>
      <c r="F15" s="5"/>
      <c r="G15" s="9" t="n">
        <v>0</v>
      </c>
    </row>
    <row r="16" customFormat="false" ht="13.8" hidden="false" customHeight="false" outlineLevel="0" collapsed="false">
      <c r="A16" s="4"/>
      <c r="B16" s="5" t="s">
        <v>19</v>
      </c>
      <c r="C16" s="5"/>
      <c r="D16" s="5"/>
      <c r="E16" s="5"/>
      <c r="F16" s="5"/>
      <c r="G16" s="9" t="n">
        <v>2</v>
      </c>
    </row>
    <row r="17" customFormat="false" ht="13.8" hidden="false" customHeight="false" outlineLevel="0" collapsed="false">
      <c r="A17" s="4" t="s">
        <v>20</v>
      </c>
      <c r="B17" s="5"/>
      <c r="C17" s="5"/>
      <c r="D17" s="5"/>
      <c r="E17" s="5"/>
      <c r="F17" s="5"/>
      <c r="G17" s="9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35" t="s">
        <v>837</v>
      </c>
      <c r="C20" s="35" t="s">
        <v>838</v>
      </c>
      <c r="D20" s="35"/>
      <c r="E20" s="35" t="s">
        <v>38</v>
      </c>
      <c r="F20" s="36" t="s">
        <v>839</v>
      </c>
      <c r="G20" s="37"/>
      <c r="H20" s="8"/>
      <c r="I20" s="23"/>
    </row>
    <row r="21" customFormat="false" ht="13.8" hidden="false" customHeight="false" outlineLevel="0" collapsed="false">
      <c r="A21" s="18" t="n">
        <v>2</v>
      </c>
      <c r="B21" s="35" t="s">
        <v>840</v>
      </c>
      <c r="C21" s="35" t="s">
        <v>841</v>
      </c>
      <c r="D21" s="35"/>
      <c r="E21" s="35" t="s">
        <v>30</v>
      </c>
      <c r="F21" s="38" t="s">
        <v>842</v>
      </c>
      <c r="G21" s="39" t="s">
        <v>35</v>
      </c>
      <c r="H21" s="8"/>
      <c r="I21" s="23"/>
    </row>
    <row r="22" customFormat="false" ht="13.8" hidden="false" customHeight="false" outlineLevel="0" collapsed="false">
      <c r="A22" s="18" t="n">
        <v>3</v>
      </c>
      <c r="B22" s="35" t="s">
        <v>843</v>
      </c>
      <c r="C22" s="35" t="s">
        <v>844</v>
      </c>
      <c r="D22" s="35"/>
      <c r="E22" s="35" t="s">
        <v>60</v>
      </c>
      <c r="F22" s="38" t="s">
        <v>240</v>
      </c>
      <c r="G22" s="39"/>
      <c r="H22" s="8"/>
      <c r="I22" s="23"/>
    </row>
    <row r="23" customFormat="false" ht="13.8" hidden="false" customHeight="false" outlineLevel="0" collapsed="false">
      <c r="A23" s="18" t="n">
        <v>4</v>
      </c>
      <c r="B23" s="35" t="s">
        <v>845</v>
      </c>
      <c r="C23" s="35" t="s">
        <v>316</v>
      </c>
      <c r="D23" s="35" t="s">
        <v>33</v>
      </c>
      <c r="E23" s="35" t="s">
        <v>34</v>
      </c>
      <c r="F23" s="38" t="s">
        <v>846</v>
      </c>
      <c r="G23" s="39"/>
      <c r="H23" s="8"/>
      <c r="I23" s="23"/>
    </row>
    <row r="24" customFormat="false" ht="13.8" hidden="false" customHeight="false" outlineLevel="0" collapsed="false">
      <c r="A24" s="18" t="n">
        <v>5</v>
      </c>
      <c r="B24" s="35" t="s">
        <v>93</v>
      </c>
      <c r="C24" s="35" t="s">
        <v>847</v>
      </c>
      <c r="D24" s="35" t="s">
        <v>33</v>
      </c>
      <c r="E24" s="35" t="s">
        <v>38</v>
      </c>
      <c r="F24" s="38" t="s">
        <v>848</v>
      </c>
      <c r="G24" s="39"/>
      <c r="H24" s="8"/>
      <c r="I24" s="23"/>
    </row>
    <row r="25" customFormat="false" ht="13.8" hidden="false" customHeight="false" outlineLevel="0" collapsed="false">
      <c r="A25" s="18" t="n">
        <v>6</v>
      </c>
      <c r="B25" s="35" t="s">
        <v>849</v>
      </c>
      <c r="C25" s="35" t="s">
        <v>850</v>
      </c>
      <c r="D25" s="35"/>
      <c r="E25" s="35" t="s">
        <v>34</v>
      </c>
      <c r="F25" s="38" t="s">
        <v>121</v>
      </c>
      <c r="G25" s="39"/>
      <c r="H25" s="8"/>
      <c r="I25" s="23"/>
    </row>
    <row r="26" customFormat="false" ht="13.8" hidden="false" customHeight="false" outlineLevel="0" collapsed="false">
      <c r="A26" s="18" t="n">
        <v>7</v>
      </c>
      <c r="B26" s="35" t="s">
        <v>851</v>
      </c>
      <c r="C26" s="35" t="s">
        <v>852</v>
      </c>
      <c r="D26" s="35"/>
      <c r="E26" s="35" t="s">
        <v>45</v>
      </c>
      <c r="F26" s="38" t="s">
        <v>853</v>
      </c>
      <c r="G26" s="39"/>
      <c r="H26" s="8"/>
      <c r="I26" s="23"/>
    </row>
    <row r="27" customFormat="false" ht="13.8" hidden="false" customHeight="false" outlineLevel="0" collapsed="false">
      <c r="A27" s="18" t="n">
        <v>8</v>
      </c>
      <c r="B27" s="35" t="s">
        <v>854</v>
      </c>
      <c r="C27" s="35" t="s">
        <v>855</v>
      </c>
      <c r="D27" s="35" t="s">
        <v>33</v>
      </c>
      <c r="E27" s="35" t="s">
        <v>30</v>
      </c>
      <c r="F27" s="38" t="s">
        <v>856</v>
      </c>
      <c r="G27" s="39" t="s">
        <v>35</v>
      </c>
      <c r="H27" s="8"/>
      <c r="I27" s="23"/>
    </row>
    <row r="28" customFormat="false" ht="13.8" hidden="false" customHeight="false" outlineLevel="0" collapsed="false">
      <c r="A28" s="18" t="n">
        <v>9</v>
      </c>
      <c r="B28" s="35" t="s">
        <v>857</v>
      </c>
      <c r="C28" s="35" t="s">
        <v>858</v>
      </c>
      <c r="D28" s="35" t="s">
        <v>33</v>
      </c>
      <c r="E28" s="35" t="s">
        <v>30</v>
      </c>
      <c r="F28" s="38" t="s">
        <v>859</v>
      </c>
      <c r="G28" s="39" t="s">
        <v>35</v>
      </c>
      <c r="H28" s="8"/>
      <c r="I28" s="23"/>
    </row>
    <row r="29" customFormat="false" ht="13.8" hidden="false" customHeight="false" outlineLevel="0" collapsed="false">
      <c r="A29" s="18" t="n">
        <v>10</v>
      </c>
      <c r="B29" s="35" t="s">
        <v>860</v>
      </c>
      <c r="C29" s="35" t="s">
        <v>861</v>
      </c>
      <c r="D29" s="35" t="s">
        <v>33</v>
      </c>
      <c r="E29" s="35" t="s">
        <v>45</v>
      </c>
      <c r="F29" s="38" t="s">
        <v>481</v>
      </c>
      <c r="G29" s="39"/>
      <c r="H29" s="8"/>
      <c r="I29" s="23"/>
    </row>
    <row r="30" customFormat="false" ht="13.8" hidden="false" customHeight="false" outlineLevel="0" collapsed="false">
      <c r="A30" s="18" t="n">
        <v>11</v>
      </c>
      <c r="B30" s="35" t="s">
        <v>414</v>
      </c>
      <c r="C30" s="35" t="s">
        <v>862</v>
      </c>
      <c r="D30" s="35"/>
      <c r="E30" s="35" t="s">
        <v>34</v>
      </c>
      <c r="F30" s="38" t="s">
        <v>863</v>
      </c>
      <c r="G30" s="39"/>
      <c r="H30" s="8"/>
      <c r="I30" s="23"/>
    </row>
    <row r="31" customFormat="false" ht="13.8" hidden="false" customHeight="false" outlineLevel="0" collapsed="false">
      <c r="A31" s="18" t="n">
        <v>12</v>
      </c>
      <c r="B31" s="35" t="s">
        <v>864</v>
      </c>
      <c r="C31" s="35" t="s">
        <v>865</v>
      </c>
      <c r="D31" s="35" t="s">
        <v>33</v>
      </c>
      <c r="E31" s="35" t="s">
        <v>45</v>
      </c>
      <c r="F31" s="38" t="s">
        <v>866</v>
      </c>
      <c r="G31" s="39"/>
      <c r="H31" s="8"/>
      <c r="I31" s="23"/>
    </row>
    <row r="32" customFormat="false" ht="13.8" hidden="false" customHeight="false" outlineLevel="0" collapsed="false">
      <c r="A32" s="18" t="n">
        <v>13</v>
      </c>
      <c r="B32" s="35" t="s">
        <v>867</v>
      </c>
      <c r="C32" s="35" t="s">
        <v>868</v>
      </c>
      <c r="D32" s="35" t="s">
        <v>33</v>
      </c>
      <c r="E32" s="35" t="s">
        <v>60</v>
      </c>
      <c r="F32" s="38" t="s">
        <v>869</v>
      </c>
      <c r="G32" s="39"/>
      <c r="H32" s="8"/>
      <c r="I32" s="23"/>
    </row>
    <row r="33" customFormat="false" ht="13.8" hidden="false" customHeight="false" outlineLevel="0" collapsed="false">
      <c r="A33" s="18" t="n">
        <v>14</v>
      </c>
      <c r="B33" s="35" t="s">
        <v>870</v>
      </c>
      <c r="C33" s="35" t="s">
        <v>871</v>
      </c>
      <c r="D33" s="35"/>
      <c r="E33" s="35" t="s">
        <v>38</v>
      </c>
      <c r="F33" s="38" t="s">
        <v>872</v>
      </c>
      <c r="G33" s="39"/>
      <c r="H33" s="8"/>
      <c r="I33" s="23"/>
    </row>
    <row r="34" customFormat="false" ht="13.8" hidden="false" customHeight="false" outlineLevel="0" collapsed="false">
      <c r="A34" s="18" t="n">
        <v>15</v>
      </c>
      <c r="B34" s="35" t="s">
        <v>459</v>
      </c>
      <c r="C34" s="35" t="s">
        <v>873</v>
      </c>
      <c r="D34" s="35" t="s">
        <v>33</v>
      </c>
      <c r="E34" s="35" t="s">
        <v>60</v>
      </c>
      <c r="F34" s="38" t="s">
        <v>874</v>
      </c>
      <c r="G34" s="39"/>
      <c r="H34" s="8"/>
      <c r="I34" s="23"/>
    </row>
    <row r="35" customFormat="false" ht="13.8" hidden="false" customHeight="false" outlineLevel="0" collapsed="false">
      <c r="A35" s="18" t="n">
        <v>16</v>
      </c>
      <c r="B35" s="40"/>
      <c r="C35" s="41"/>
      <c r="D35" s="41"/>
      <c r="E35" s="38"/>
      <c r="F35" s="38"/>
      <c r="G35" s="38"/>
      <c r="H35" s="8" t="s">
        <v>65</v>
      </c>
      <c r="I35" s="23"/>
    </row>
    <row r="36" customFormat="false" ht="13.8" hidden="false" customHeight="false" outlineLevel="0" collapsed="false">
      <c r="A36" s="18" t="n">
        <v>17</v>
      </c>
      <c r="B36" s="40"/>
      <c r="C36" s="41"/>
      <c r="D36" s="41"/>
      <c r="E36" s="38"/>
      <c r="F36" s="38"/>
      <c r="G36" s="38"/>
      <c r="H36" s="8" t="s">
        <v>66</v>
      </c>
      <c r="I36" s="23"/>
    </row>
    <row r="37" customFormat="false" ht="13.8" hidden="false" customHeight="false" outlineLevel="0" collapsed="false">
      <c r="A37" s="18" t="n">
        <v>18</v>
      </c>
      <c r="B37" s="40"/>
      <c r="C37" s="41"/>
      <c r="D37" s="41"/>
      <c r="E37" s="38"/>
      <c r="F37" s="38"/>
      <c r="G37" s="38"/>
      <c r="H37" s="8" t="s">
        <v>67</v>
      </c>
      <c r="I37" s="23"/>
    </row>
    <row r="38" customFormat="false" ht="13.8" hidden="false" customHeight="false" outlineLevel="0" collapsed="false">
      <c r="A38" s="18" t="n">
        <v>19</v>
      </c>
      <c r="B38" s="40"/>
      <c r="C38" s="41"/>
      <c r="D38" s="41"/>
      <c r="E38" s="38"/>
      <c r="F38" s="38"/>
      <c r="G38" s="38"/>
      <c r="H38" s="8" t="s">
        <v>68</v>
      </c>
      <c r="I38" s="23"/>
    </row>
    <row r="39" customFormat="false" ht="13.8" hidden="false" customHeight="false" outlineLevel="0" collapsed="false">
      <c r="A39" s="18" t="n">
        <v>20</v>
      </c>
      <c r="B39" s="40"/>
      <c r="C39" s="41"/>
      <c r="D39" s="41"/>
      <c r="E39" s="38"/>
      <c r="F39" s="38"/>
      <c r="G39" s="38"/>
      <c r="H39" s="8" t="s">
        <v>69</v>
      </c>
      <c r="I39" s="23"/>
    </row>
    <row r="40" customFormat="false" ht="13.8" hidden="false" customHeight="false" outlineLevel="0" collapsed="false">
      <c r="A40" s="18" t="n">
        <v>21</v>
      </c>
      <c r="B40" s="40"/>
      <c r="C40" s="41"/>
      <c r="D40" s="41"/>
      <c r="E40" s="38"/>
      <c r="F40" s="38"/>
      <c r="G40" s="38"/>
      <c r="H40" s="8" t="s">
        <v>70</v>
      </c>
      <c r="I40" s="23"/>
    </row>
    <row r="41" customFormat="false" ht="13.8" hidden="false" customHeight="false" outlineLevel="0" collapsed="false">
      <c r="F41" s="33"/>
      <c r="G41" s="34"/>
      <c r="H41" s="8"/>
      <c r="I41" s="23"/>
    </row>
    <row r="42" customFormat="false" ht="13.8" hidden="false" customHeight="false" outlineLevel="0" collapsed="false">
      <c r="F42" s="33"/>
      <c r="G42" s="34"/>
      <c r="H42" s="8"/>
      <c r="I42" s="23"/>
    </row>
    <row r="43" customFormat="false" ht="13.8" hidden="false" customHeight="false" outlineLevel="0" collapsed="false">
      <c r="F43" s="33"/>
      <c r="G43" s="34"/>
      <c r="H43" s="8"/>
      <c r="I43" s="23"/>
    </row>
    <row r="44" customFormat="false" ht="13.8" hidden="false" customHeight="false" outlineLevel="0" collapsed="false">
      <c r="F44" s="33"/>
      <c r="G44" s="34"/>
      <c r="H44" s="8"/>
      <c r="I44" s="23"/>
    </row>
  </sheetData>
  <conditionalFormatting sqref="F20:G40">
    <cfRule type="expression" priority="2" aboveAverage="0" equalAverage="0" bottom="0" percent="0" rank="0" text="" dxfId="126">
      <formula>MOD(ROW(),2)=0</formula>
    </cfRule>
    <cfRule type="expression" priority="3" aboveAverage="0" equalAverage="0" bottom="0" percent="0" rank="0" text="" dxfId="127">
      <formula>MOD(ROW(),2)=1</formula>
    </cfRule>
  </conditionalFormatting>
  <conditionalFormatting sqref="C20">
    <cfRule type="expression" priority="4" aboveAverage="0" equalAverage="0" bottom="0" percent="0" rank="0" text="" dxfId="128">
      <formula>MOD(ROW(),2)=0</formula>
    </cfRule>
    <cfRule type="expression" priority="5" aboveAverage="0" equalAverage="0" bottom="0" percent="0" rank="0" text="" dxfId="129">
      <formula>MOD(ROW(),2)=1</formula>
    </cfRule>
  </conditionalFormatting>
  <conditionalFormatting sqref="B20:E40">
    <cfRule type="expression" priority="6" aboveAverage="0" equalAverage="0" bottom="0" percent="0" rank="0" text="" dxfId="130">
      <formula>MOD(ROW(),2)=0</formula>
    </cfRule>
    <cfRule type="expression" priority="7" aboveAverage="0" equalAverage="0" bottom="0" percent="0" rank="0" text="" dxfId="13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a84293-9bbf-4bc8-a250-85c919c99cf4">
      <Terms xmlns="http://schemas.microsoft.com/office/infopath/2007/PartnerControls"/>
    </lcf76f155ced4ddcb4097134ff3c332f>
    <Reviewadas xmlns="34a84293-9bbf-4bc8-a250-85c919c99cf4" xsi:nil="true"/>
    <TaxCatchAll xmlns="d345eff1-1d60-409f-a687-c4cc64e332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4849A9E256764CAA556250664BD724" ma:contentTypeVersion="14" ma:contentTypeDescription="Create a new document." ma:contentTypeScope="" ma:versionID="5271cbf2e168027705a33492335b7f3b">
  <xsd:schema xmlns:xsd="http://www.w3.org/2001/XMLSchema" xmlns:xs="http://www.w3.org/2001/XMLSchema" xmlns:p="http://schemas.microsoft.com/office/2006/metadata/properties" xmlns:ns2="34a84293-9bbf-4bc8-a250-85c919c99cf4" xmlns:ns3="d345eff1-1d60-409f-a687-c4cc64e332b9" targetNamespace="http://schemas.microsoft.com/office/2006/metadata/properties" ma:root="true" ma:fieldsID="eb9eb88aad015f390cdf593b4ac63b8b" ns2:_="" ns3:_="">
    <xsd:import namespace="34a84293-9bbf-4bc8-a250-85c919c99cf4"/>
    <xsd:import namespace="d345eff1-1d60-409f-a687-c4cc64e332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Reviewada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84293-9bbf-4bc8-a250-85c919c99c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7eb21c1-5aa8-484e-b355-dca19d20d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viewadas" ma:index="20" nillable="true" ma:displayName="Review adas " ma:format="DateOnly" ma:internalName="Reviewadas">
      <xsd:simpleType>
        <xsd:restriction base="dms:DateTim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5eff1-1d60-409f-a687-c4cc64e332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3c184e-4850-46d3-a0d3-2c9cea143579}" ma:internalName="TaxCatchAll" ma:showField="CatchAllData" ma:web="1af27fc7-aab9-42a2-8587-708368df77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42B053-29AE-4F64-A385-8DAAF2D995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340723-8F84-48E5-B914-7621A9368092}">
  <ds:schemaRefs>
    <ds:schemaRef ds:uri="http://schemas.microsoft.com/office/infopath/2007/PartnerControls"/>
    <ds:schemaRef ds:uri="34a84293-9bbf-4bc8-a250-85c919c99cf4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d345eff1-1d60-409f-a687-c4cc64e332b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377840A-525D-490F-A4E2-744C033FAB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a84293-9bbf-4bc8-a250-85c919c99cf4"/>
    <ds:schemaRef ds:uri="d345eff1-1d60-409f-a687-c4cc64e332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2010-04-26T09:06:52Z</dcterms:created>
  <dc:creator>gpiggott</dc:creator>
  <dc:description/>
  <dc:language>en-GB</dc:language>
  <cp:lastModifiedBy/>
  <cp:lastPrinted>2026-06-09T11:06:18Z</cp:lastPrinted>
  <dcterms:modified xsi:type="dcterms:W3CDTF">2026-09-02T16:18:29Z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0x010100454849A9E256764CAA556250664BD724</vt:lpwstr>
  </property>
  <property fmtid="{D5CDD505-2E9C-101B-9397-08002B2CF9AE}" pid="3" name="MediaServiceImageTags">
    <vt:lpwstr/>
  </property>
</Properties>
</file>