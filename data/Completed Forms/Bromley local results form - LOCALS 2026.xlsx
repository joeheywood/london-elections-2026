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ingC01\AppData\Local\Microsoft\Windows\INetCache\Content.Outlook\RE9I79VE\"/>
    </mc:Choice>
  </mc:AlternateContent>
  <xr:revisionPtr revIDLastSave="0" documentId="8_{4BCF12B8-2A3C-42C6-B455-34CB28303CA3}" xr6:coauthVersionLast="47" xr6:coauthVersionMax="47" xr10:uidLastSave="{00000000-0000-0000-0000-000000000000}"/>
  <bookViews>
    <workbookView xWindow="3036" yWindow="3036" windowWidth="30960" windowHeight="12072" firstSheet="16" xr2:uid="{00000000-000D-0000-FFFF-FFFF00000000}"/>
  </bookViews>
  <sheets>
    <sheet name="Beckenham T..." sheetId="5" r:id="rId1"/>
    <sheet name="Bickley &amp; S..." sheetId="6" r:id="rId2"/>
    <sheet name="Biggin Hill" sheetId="7" r:id="rId3"/>
    <sheet name="Bromley Com..." sheetId="8" r:id="rId4"/>
    <sheet name="Bromley Town" sheetId="9" r:id="rId5"/>
    <sheet name="Chelsfield" sheetId="10" r:id="rId6"/>
    <sheet name="Chislehurst" sheetId="11" r:id="rId7"/>
    <sheet name="Clock House" sheetId="12" r:id="rId8"/>
    <sheet name="Crystal Pal..." sheetId="13" r:id="rId9"/>
    <sheet name="Darwin" sheetId="14" r:id="rId10"/>
    <sheet name="Farnborough..." sheetId="15" r:id="rId11"/>
    <sheet name="Hayes &amp; Con..." sheetId="16" r:id="rId12"/>
    <sheet name="Kelsey &amp; Ed..." sheetId="17" r:id="rId13"/>
    <sheet name="Mottingham" sheetId="18" r:id="rId14"/>
    <sheet name="Orpington" sheetId="19" r:id="rId15"/>
    <sheet name="Penge &amp; Cator" sheetId="20" r:id="rId16"/>
    <sheet name="Petts Wood ..." sheetId="21" r:id="rId17"/>
    <sheet name="Plaistow" sheetId="22" r:id="rId18"/>
    <sheet name="Shortlands ..." sheetId="23" r:id="rId19"/>
    <sheet name="St Mary Cray" sheetId="24" r:id="rId20"/>
    <sheet name="St Paul's Cray" sheetId="25" r:id="rId21"/>
    <sheet name="West Wickham" sheetId="26" r:id="rId2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6" l="1"/>
  <c r="G11" i="26"/>
  <c r="G9" i="26"/>
  <c r="G12" i="25"/>
  <c r="G11" i="25"/>
  <c r="G9" i="25"/>
  <c r="G12" i="24"/>
  <c r="G11" i="24"/>
  <c r="G9" i="24"/>
  <c r="G12" i="23"/>
  <c r="G11" i="23"/>
  <c r="G9" i="23"/>
  <c r="G11" i="22"/>
  <c r="G9" i="22"/>
  <c r="G12" i="21"/>
  <c r="G11" i="21"/>
  <c r="G9" i="21"/>
  <c r="G12" i="20"/>
  <c r="G11" i="20"/>
  <c r="G9" i="20"/>
  <c r="G12" i="19"/>
  <c r="G11" i="19"/>
  <c r="G9" i="19"/>
  <c r="G12" i="18"/>
  <c r="G11" i="18"/>
  <c r="G9" i="18"/>
  <c r="G12" i="17"/>
  <c r="G11" i="17"/>
  <c r="G9" i="17"/>
  <c r="G12" i="16"/>
  <c r="G11" i="16"/>
  <c r="G9" i="16"/>
  <c r="G12" i="15"/>
  <c r="G11" i="15"/>
  <c r="G9" i="15"/>
  <c r="G12" i="14"/>
  <c r="G11" i="14"/>
  <c r="G9" i="14"/>
  <c r="G12" i="12"/>
  <c r="G11" i="12"/>
  <c r="G9" i="12"/>
  <c r="G12" i="13"/>
  <c r="G11" i="13"/>
  <c r="G9" i="13"/>
  <c r="Q12" i="12"/>
  <c r="P12" i="12"/>
  <c r="O12" i="12"/>
  <c r="N12" i="12"/>
  <c r="M12" i="12"/>
  <c r="L12" i="12"/>
  <c r="K12" i="12"/>
  <c r="J12" i="12"/>
  <c r="I12" i="12"/>
  <c r="H12" i="12"/>
  <c r="Q11" i="12"/>
  <c r="P11" i="12"/>
  <c r="O11" i="12"/>
  <c r="N11" i="12"/>
  <c r="M11" i="12"/>
  <c r="L11" i="12"/>
  <c r="K11" i="12"/>
  <c r="J11" i="12"/>
  <c r="I11" i="12"/>
  <c r="H11" i="12"/>
  <c r="Q9" i="12"/>
  <c r="P9" i="12"/>
  <c r="O9" i="12"/>
  <c r="N9" i="12"/>
  <c r="M9" i="12"/>
  <c r="L9" i="12"/>
  <c r="K9" i="12"/>
  <c r="J9" i="12"/>
  <c r="I9" i="12"/>
  <c r="H9" i="12"/>
  <c r="G12" i="11"/>
  <c r="G11" i="11"/>
  <c r="G9" i="11"/>
  <c r="G12" i="10"/>
  <c r="G11" i="10"/>
  <c r="G9" i="10"/>
  <c r="G12" i="9"/>
  <c r="G11" i="9"/>
  <c r="G9" i="9"/>
  <c r="G12" i="8"/>
  <c r="G11" i="8"/>
  <c r="G9" i="8"/>
  <c r="G12" i="7"/>
  <c r="G11" i="7"/>
  <c r="G9" i="7"/>
  <c r="G12" i="6"/>
  <c r="G11" i="6"/>
  <c r="G9" i="6"/>
  <c r="G12" i="5"/>
  <c r="G11" i="5"/>
  <c r="G9" i="5"/>
</calcChain>
</file>

<file path=xl/sharedStrings.xml><?xml version="1.0" encoding="utf-8"?>
<sst xmlns="http://schemas.openxmlformats.org/spreadsheetml/2006/main" count="2062" uniqueCount="875">
  <si>
    <t>Report of Election for the Greater London Authority</t>
  </si>
  <si>
    <t>Please fill in the form as completely as possible before returning to joe.heywood@london.gov.uk</t>
  </si>
  <si>
    <t>Bromley</t>
  </si>
  <si>
    <t>Date of election</t>
  </si>
  <si>
    <t>7 May 2026</t>
  </si>
  <si>
    <t>Ward</t>
  </si>
  <si>
    <t>Beckenham Town &amp; Copers Cope</t>
  </si>
  <si>
    <t>00ABFX</t>
  </si>
  <si>
    <t>Number of Councillors to be elected</t>
  </si>
  <si>
    <t>3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</si>
  <si>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</si>
  <si>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</si>
  <si>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</si>
  <si>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</si>
  <si>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</si>
  <si>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</si>
  <si>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</si>
  <si>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</si>
  <si>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</si>
  <si>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</si>
  <si>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</si>
  <si>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</si>
  <si>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</si>
  <si>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</si>
  <si>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</si>
  <si>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</si>
  <si>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</si>
  <si>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</si>
  <si>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Ayshford</t>
  </si>
  <si>
    <t>Stephen Mark</t>
  </si>
  <si>
    <t>Local Conservatives</t>
  </si>
  <si>
    <t>Beecroft [Bapat]</t>
  </si>
  <si>
    <t>Gita Kanchan [Gita Kanchan]</t>
  </si>
  <si>
    <t>F</t>
  </si>
  <si>
    <t>Liberal Democrats</t>
  </si>
  <si>
    <t>X</t>
  </si>
  <si>
    <t>Blewer</t>
  </si>
  <si>
    <t>Anna-Marie Clare</t>
  </si>
  <si>
    <t>Labour Party</t>
  </si>
  <si>
    <t>Brown [Brown]</t>
  </si>
  <si>
    <t>Michael Arild [Mike]</t>
  </si>
  <si>
    <t>Crisp</t>
  </si>
  <si>
    <t>Sebastian James</t>
  </si>
  <si>
    <t>Fabricant</t>
  </si>
  <si>
    <t>Ruth</t>
  </si>
  <si>
    <t>Green Party</t>
  </si>
  <si>
    <t>Jefferies</t>
  </si>
  <si>
    <t>Steven Alexander</t>
  </si>
  <si>
    <t>Newman [Newman]</t>
  </si>
  <si>
    <t>John Geoffrey [Geoff]</t>
  </si>
  <si>
    <t>Olliffe</t>
  </si>
  <si>
    <t>Patrick Joseph</t>
  </si>
  <si>
    <t>Phillippo</t>
  </si>
  <si>
    <t>Mark William</t>
  </si>
  <si>
    <t>Ross</t>
  </si>
  <si>
    <t>Chloe-Jane</t>
  </si>
  <si>
    <t>Tickner</t>
  </si>
  <si>
    <t>Michael John</t>
  </si>
  <si>
    <t>Walker [Walker]</t>
  </si>
  <si>
    <t>Stephen [Steve]</t>
  </si>
  <si>
    <t>Reform UK</t>
  </si>
  <si>
    <t>Whelan</t>
  </si>
  <si>
    <t>Melody Anne</t>
  </si>
  <si>
    <t>Wibberley [Wibberley]</t>
  </si>
  <si>
    <t>David Stuart [Dave]</t>
  </si>
  <si>
    <t>00ABFX16</t>
  </si>
  <si>
    <t>00ABFX17</t>
  </si>
  <si>
    <t>00ABFX18</t>
  </si>
  <si>
    <t>00ABFX19</t>
  </si>
  <si>
    <t>00ABFX20</t>
  </si>
  <si>
    <t>00ABFX21</t>
  </si>
  <si>
    <t>Bickley &amp; Sundridge</t>
  </si>
  <si>
    <t>Brock</t>
  </si>
  <si>
    <t>Mark</t>
  </si>
  <si>
    <t>3,666</t>
  </si>
  <si>
    <t>Broderick</t>
  </si>
  <si>
    <t>Cecilia Mary</t>
  </si>
  <si>
    <t>1,041</t>
  </si>
  <si>
    <t>Cliff</t>
  </si>
  <si>
    <t>Robert Paul</t>
  </si>
  <si>
    <t>653</t>
  </si>
  <si>
    <t>Cooper</t>
  </si>
  <si>
    <t>Martin</t>
  </si>
  <si>
    <t>680</t>
  </si>
  <si>
    <t>Dixson</t>
  </si>
  <si>
    <t>Gary Thomas</t>
  </si>
  <si>
    <t>695</t>
  </si>
  <si>
    <t>Ellery</t>
  </si>
  <si>
    <t>Michael</t>
  </si>
  <si>
    <t>1,210</t>
  </si>
  <si>
    <t>Evans [Evans]</t>
  </si>
  <si>
    <t>John Robert [John]</t>
  </si>
  <si>
    <t>1,160</t>
  </si>
  <si>
    <t>Evans</t>
  </si>
  <si>
    <t>Robert Neil</t>
  </si>
  <si>
    <t>662</t>
  </si>
  <si>
    <t>Lawrence [Lawrence]</t>
  </si>
  <si>
    <t>Adrian Graham [Adrian]</t>
  </si>
  <si>
    <t>1,103</t>
  </si>
  <si>
    <t>Lymer [Lymer]</t>
  </si>
  <si>
    <t>Katherine Louise [Kate]</t>
  </si>
  <si>
    <t>3,564</t>
  </si>
  <si>
    <t>Mulvihill</t>
  </si>
  <si>
    <t>Charles William</t>
  </si>
  <si>
    <t>806</t>
  </si>
  <si>
    <t>Sewell</t>
  </si>
  <si>
    <t>Kyle Harley James</t>
  </si>
  <si>
    <t>625</t>
  </si>
  <si>
    <t>Smith</t>
  </si>
  <si>
    <t>Colin Paul</t>
  </si>
  <si>
    <t>3,474</t>
  </si>
  <si>
    <t>Tyurenkov [Tyurenkov]</t>
  </si>
  <si>
    <t>Denis [Denis]</t>
  </si>
  <si>
    <t>688</t>
  </si>
  <si>
    <t>Webber [Webber]</t>
  </si>
  <si>
    <t>Jonathan Edward [Jon]</t>
  </si>
  <si>
    <t>538</t>
  </si>
  <si>
    <t>Biggin Hill</t>
  </si>
  <si>
    <t>2</t>
  </si>
  <si>
    <t>Allen [Allen]</t>
  </si>
  <si>
    <t>Geoffrey [Geoff]</t>
  </si>
  <si>
    <t>327</t>
  </si>
  <si>
    <t>Allitt [Allitt]</t>
  </si>
  <si>
    <t>Timothy Frank [Tim]</t>
  </si>
  <si>
    <t>2,119</t>
  </si>
  <si>
    <t>Cranenburgh [Cranenburgh]</t>
  </si>
  <si>
    <t>Stephen Lloyd [Steve]</t>
  </si>
  <si>
    <t>230</t>
  </si>
  <si>
    <t>Dunbar</t>
  </si>
  <si>
    <t>Sophie Alexandra</t>
  </si>
  <si>
    <t>1,766</t>
  </si>
  <si>
    <t>George</t>
  </si>
  <si>
    <t>Aji Kunjachan</t>
  </si>
  <si>
    <t>178</t>
  </si>
  <si>
    <t>Gostt [Gostt]</t>
  </si>
  <si>
    <t>Geoffrey Colin [Geoff]</t>
  </si>
  <si>
    <t>299</t>
  </si>
  <si>
    <t>Hamilton</t>
  </si>
  <si>
    <t>Laurence Christian Dominic</t>
  </si>
  <si>
    <t>270</t>
  </si>
  <si>
    <t>Hatch [Hatch]</t>
  </si>
  <si>
    <t>Philip Michael Edward [Philip]</t>
  </si>
  <si>
    <t>1,440</t>
  </si>
  <si>
    <t>James [James]</t>
  </si>
  <si>
    <t>Stephen John [Steve]</t>
  </si>
  <si>
    <t>2,122</t>
  </si>
  <si>
    <t>Westbrook</t>
  </si>
  <si>
    <t>Malcolm Bruce</t>
  </si>
  <si>
    <t>206</t>
  </si>
  <si>
    <t>00ABFX11</t>
  </si>
  <si>
    <t>00ABFX12</t>
  </si>
  <si>
    <t>00ABFX13</t>
  </si>
  <si>
    <t>00ABFX14</t>
  </si>
  <si>
    <t>00ABFX15</t>
  </si>
  <si>
    <t>Bromley Common &amp; Holwood</t>
  </si>
  <si>
    <t>Broadhurst</t>
  </si>
  <si>
    <t>Clive Anthony</t>
  </si>
  <si>
    <t>544</t>
  </si>
  <si>
    <t>Carter</t>
  </si>
  <si>
    <t>Alan</t>
  </si>
  <si>
    <t>553</t>
  </si>
  <si>
    <t>Cook [Cook]</t>
  </si>
  <si>
    <t>Terence Alan [Alan]</t>
  </si>
  <si>
    <t>1,946</t>
  </si>
  <si>
    <t>Gabbert</t>
  </si>
  <si>
    <t>Kira</t>
  </si>
  <si>
    <t>1,824</t>
  </si>
  <si>
    <t>Goddard-Glen</t>
  </si>
  <si>
    <t>Louis Arthur Reginald</t>
  </si>
  <si>
    <t>927</t>
  </si>
  <si>
    <t>Gupta</t>
  </si>
  <si>
    <t>Sunil</t>
  </si>
  <si>
    <t>2,514</t>
  </si>
  <si>
    <t>Innes</t>
  </si>
  <si>
    <t>Simon Alexander</t>
  </si>
  <si>
    <t>2,391</t>
  </si>
  <si>
    <t>Ker [Ker]</t>
  </si>
  <si>
    <t>Geraldine Morgan Louise [Geraldine]</t>
  </si>
  <si>
    <t>950</t>
  </si>
  <si>
    <t>Moses</t>
  </si>
  <si>
    <t>Shona Anne</t>
  </si>
  <si>
    <t>755</t>
  </si>
  <si>
    <t>Payne</t>
  </si>
  <si>
    <t>Ian Frederick</t>
  </si>
  <si>
    <t>2,522</t>
  </si>
  <si>
    <t>Searle</t>
  </si>
  <si>
    <t>Clare Louise</t>
  </si>
  <si>
    <t>984</t>
  </si>
  <si>
    <t>Simms</t>
  </si>
  <si>
    <t>Michael Anthony</t>
  </si>
  <si>
    <t>692</t>
  </si>
  <si>
    <t>Stokes [Stokes]</t>
  </si>
  <si>
    <t>Alfie Joseph [Alfie]</t>
  </si>
  <si>
    <t>1,747</t>
  </si>
  <si>
    <t>Viner</t>
  </si>
  <si>
    <t>Andrew John</t>
  </si>
  <si>
    <t>430</t>
  </si>
  <si>
    <t>Zubair</t>
  </si>
  <si>
    <t>Sobia</t>
  </si>
  <si>
    <t>629</t>
  </si>
  <si>
    <t>Bromley Town</t>
  </si>
  <si>
    <t>Awobayiku</t>
  </si>
  <si>
    <t>Larry Bayode</t>
  </si>
  <si>
    <t>479</t>
  </si>
  <si>
    <t>Bardsley [Bardsley]</t>
  </si>
  <si>
    <t>Marie Elizabeth [Marie]</t>
  </si>
  <si>
    <t>566</t>
  </si>
  <si>
    <t>Billington</t>
  </si>
  <si>
    <t>Rose-Marie</t>
  </si>
  <si>
    <t>878</t>
  </si>
  <si>
    <t>Bilmanis</t>
  </si>
  <si>
    <t>Arturs</t>
  </si>
  <si>
    <t>676</t>
  </si>
  <si>
    <t>Cameron</t>
  </si>
  <si>
    <t>Oliver Luc</t>
  </si>
  <si>
    <t>1,402</t>
  </si>
  <si>
    <t>Casey</t>
  </si>
  <si>
    <t>Graeme Lee</t>
  </si>
  <si>
    <t>1,873</t>
  </si>
  <si>
    <t>Clements [Clements]</t>
  </si>
  <si>
    <t>Colin Edwards [Colin]</t>
  </si>
  <si>
    <t>773</t>
  </si>
  <si>
    <t>Collins [Collins]</t>
  </si>
  <si>
    <t>Joshua Brandon [Joshua]</t>
  </si>
  <si>
    <t>738</t>
  </si>
  <si>
    <t>Denyer [Denyer]</t>
  </si>
  <si>
    <t>Carol Ann [Carol]</t>
  </si>
  <si>
    <t>Better Bromley</t>
  </si>
  <si>
    <t>328</t>
  </si>
  <si>
    <t>English-Sayers</t>
  </si>
  <si>
    <t>Max Peter</t>
  </si>
  <si>
    <t>1,297</t>
  </si>
  <si>
    <t>Ibukun [Ibukun]</t>
  </si>
  <si>
    <t>Caroline Temidayo [Caroline]</t>
  </si>
  <si>
    <t>152</t>
  </si>
  <si>
    <t>Ireland</t>
  </si>
  <si>
    <t>Julie Mary</t>
  </si>
  <si>
    <t>1,943</t>
  </si>
  <si>
    <t>Lee</t>
  </si>
  <si>
    <t>Tristan Francis</t>
  </si>
  <si>
    <t>1,253</t>
  </si>
  <si>
    <t>Senior</t>
  </si>
  <si>
    <t>Charmain</t>
  </si>
  <si>
    <t>684</t>
  </si>
  <si>
    <t>Thiagarajan [Thiagarajan]</t>
  </si>
  <si>
    <t>Sumathy [Sum]</t>
  </si>
  <si>
    <t>131</t>
  </si>
  <si>
    <t>Webber</t>
  </si>
  <si>
    <t>Sam Dunning</t>
  </si>
  <si>
    <t>1,752</t>
  </si>
  <si>
    <t>Wittekind</t>
  </si>
  <si>
    <t>Owen Andrew</t>
  </si>
  <si>
    <t>362</t>
  </si>
  <si>
    <t>Chelsfield</t>
  </si>
  <si>
    <t>Botting [Botting]</t>
  </si>
  <si>
    <t>Michael Frank [Mike]</t>
  </si>
  <si>
    <t>2,507</t>
  </si>
  <si>
    <t>Clements</t>
  </si>
  <si>
    <t>Steven Charles</t>
  </si>
  <si>
    <t>1,121</t>
  </si>
  <si>
    <t>Grainger</t>
  </si>
  <si>
    <t>Julian Patrick Greville</t>
  </si>
  <si>
    <t>1,195</t>
  </si>
  <si>
    <t>Jalan</t>
  </si>
  <si>
    <t>Sumeet</t>
  </si>
  <si>
    <t>2,184</t>
  </si>
  <si>
    <t>Krishnaswamy Varadharajan [Krishna]</t>
  </si>
  <si>
    <t>Senthil Kumar [Senthil]</t>
  </si>
  <si>
    <t>409</t>
  </si>
  <si>
    <t>Kudumallige Puttaswamy [Puttaswamy]</t>
  </si>
  <si>
    <t>Harsha [Harsha]</t>
  </si>
  <si>
    <t>1,303</t>
  </si>
  <si>
    <t>Sellwood</t>
  </si>
  <si>
    <t>Lynn Ann</t>
  </si>
  <si>
    <t>246</t>
  </si>
  <si>
    <t>Tozer</t>
  </si>
  <si>
    <t>Peter John</t>
  </si>
  <si>
    <t>172</t>
  </si>
  <si>
    <t>Watchorn</t>
  </si>
  <si>
    <t>Joseph John</t>
  </si>
  <si>
    <t>1,050</t>
  </si>
  <si>
    <t>00ABFX10</t>
  </si>
  <si>
    <t>Chislehurst</t>
  </si>
  <si>
    <t>Blake [Blake]</t>
  </si>
  <si>
    <t>Samuel Simon Megades [Sam]</t>
  </si>
  <si>
    <t>340</t>
  </si>
  <si>
    <t>Bollon</t>
  </si>
  <si>
    <t>Katharine Louise</t>
  </si>
  <si>
    <t>231</t>
  </si>
  <si>
    <t>Choudhury [Choudhury]</t>
  </si>
  <si>
    <t>Kamil Ahmed [Kamil]</t>
  </si>
  <si>
    <t>778</t>
  </si>
  <si>
    <t>Heal</t>
  </si>
  <si>
    <t>Julian</t>
  </si>
  <si>
    <t>323</t>
  </si>
  <si>
    <t>Hutty [Hutty]</t>
  </si>
  <si>
    <t>Malcolm Samuel Agar [Malcolm]</t>
  </si>
  <si>
    <t>1,026</t>
  </si>
  <si>
    <t>Jack [Jack]</t>
  </si>
  <si>
    <t>Michael William [Mike]</t>
  </si>
  <si>
    <t>Chislehurst Matters</t>
  </si>
  <si>
    <t>3,516</t>
  </si>
  <si>
    <t>Andrew Harry [Andrew]</t>
  </si>
  <si>
    <t>1,010</t>
  </si>
  <si>
    <t>Mansell</t>
  </si>
  <si>
    <t>Peter Hennah</t>
  </si>
  <si>
    <t>150</t>
  </si>
  <si>
    <t>McCracken</t>
  </si>
  <si>
    <t>Laura Christine</t>
  </si>
  <si>
    <t>197</t>
  </si>
  <si>
    <t>Mole</t>
  </si>
  <si>
    <t>Christian Russell</t>
  </si>
  <si>
    <t>339</t>
  </si>
  <si>
    <t>Mark Jeffrey</t>
  </si>
  <si>
    <t>3,528</t>
  </si>
  <si>
    <t>Stammers</t>
  </si>
  <si>
    <t>Alison Margaret</t>
  </si>
  <si>
    <t>3,652</t>
  </si>
  <si>
    <t>Terry [Terry]</t>
  </si>
  <si>
    <t>Kieran Stephen Cunningham [Kieran]</t>
  </si>
  <si>
    <t>828</t>
  </si>
  <si>
    <t>Thomas [Thomas]</t>
  </si>
  <si>
    <t>Alfred Joseph [Alfie]</t>
  </si>
  <si>
    <t>765</t>
  </si>
  <si>
    <t>Wade [Wade]</t>
  </si>
  <si>
    <t>Philip John [Phil]</t>
  </si>
  <si>
    <t>909</t>
  </si>
  <si>
    <t>Clock House</t>
  </si>
  <si>
    <t>Adams [Adams]</t>
  </si>
  <si>
    <t>Jeremy Richard [Jeremy]</t>
  </si>
  <si>
    <t>3,105</t>
  </si>
  <si>
    <t>James Alan</t>
  </si>
  <si>
    <t>1,320</t>
  </si>
  <si>
    <t>Coleman [Coleman]</t>
  </si>
  <si>
    <t>Jennifer Anne [Jenny]</t>
  </si>
  <si>
    <t>3,087</t>
  </si>
  <si>
    <t>Gambarotta [Gambarotta]</t>
  </si>
  <si>
    <t>Claudio Attilio [Claudio]</t>
  </si>
  <si>
    <t>503</t>
  </si>
  <si>
    <t>Keogh</t>
  </si>
  <si>
    <t>Aidan Lucas</t>
  </si>
  <si>
    <t>1,290</t>
  </si>
  <si>
    <t>King [King]</t>
  </si>
  <si>
    <t>Joshua Matthew Philip [Josh]</t>
  </si>
  <si>
    <t>2,897</t>
  </si>
  <si>
    <t>Malyon [Malyon]</t>
  </si>
  <si>
    <t>Larry Robert [Larry]</t>
  </si>
  <si>
    <t>794</t>
  </si>
  <si>
    <t>O`Neill [O`Neill]</t>
  </si>
  <si>
    <t>Justin Nicholas Adair [Justin]</t>
  </si>
  <si>
    <t>800</t>
  </si>
  <si>
    <t>Pattenden</t>
  </si>
  <si>
    <t>Scott Curtis</t>
  </si>
  <si>
    <t>954</t>
  </si>
  <si>
    <t>Phillips</t>
  </si>
  <si>
    <t>Sarah Jane</t>
  </si>
  <si>
    <t>1,086</t>
  </si>
  <si>
    <t>Pritchard</t>
  </si>
  <si>
    <t>Adam</t>
  </si>
  <si>
    <t>402</t>
  </si>
  <si>
    <t>Reeves [Reeves]</t>
  </si>
  <si>
    <t>Paul Christopher Edward [Paul]</t>
  </si>
  <si>
    <t>758</t>
  </si>
  <si>
    <t>Rennie</t>
  </si>
  <si>
    <t>Victoria Louise</t>
  </si>
  <si>
    <t>1,312</t>
  </si>
  <si>
    <t>Verazzo</t>
  </si>
  <si>
    <t>Emily</t>
  </si>
  <si>
    <t>421</t>
  </si>
  <si>
    <t>Watts</t>
  </si>
  <si>
    <t>Christopher Clifford</t>
  </si>
  <si>
    <t>855</t>
  </si>
  <si>
    <t>Crystal Palace &amp; Anerley</t>
  </si>
  <si>
    <t>Erten</t>
  </si>
  <si>
    <t>Sonay</t>
  </si>
  <si>
    <t>1,259</t>
  </si>
  <si>
    <t>Fitch-Bunce</t>
  </si>
  <si>
    <t>Stafford Malcom</t>
  </si>
  <si>
    <t>119</t>
  </si>
  <si>
    <t>McGregor [McGregor]</t>
  </si>
  <si>
    <t>Ruth Helen [Ruth]</t>
  </si>
  <si>
    <t>1,787</t>
  </si>
  <si>
    <t>Moran [Moran]</t>
  </si>
  <si>
    <t>Karen Anne [Karen]</t>
  </si>
  <si>
    <t>280</t>
  </si>
  <si>
    <t>Osaghae [Osaghae]</t>
  </si>
  <si>
    <t>Jordaine Lekeisha [Jordaine]</t>
  </si>
  <si>
    <t>1,189</t>
  </si>
  <si>
    <t>Quarterman [Quarterman]</t>
  </si>
  <si>
    <t>David Roy [David]</t>
  </si>
  <si>
    <t>268</t>
  </si>
  <si>
    <t>Reynolds [Reynolds]</t>
  </si>
  <si>
    <t>Patrick Pearse [Pearse]</t>
  </si>
  <si>
    <t>108</t>
  </si>
  <si>
    <t>Richardson [Richardson]</t>
  </si>
  <si>
    <t>Terence John [Terry]</t>
  </si>
  <si>
    <t>236</t>
  </si>
  <si>
    <t>Singh</t>
  </si>
  <si>
    <t>Tanya</t>
  </si>
  <si>
    <t>212</t>
  </si>
  <si>
    <t>Thomson [Thomson]</t>
  </si>
  <si>
    <t>Ryan David [Ryan]</t>
  </si>
  <si>
    <t>1,638</t>
  </si>
  <si>
    <t>Darwin</t>
  </si>
  <si>
    <t>1</t>
  </si>
  <si>
    <t>Andrews</t>
  </si>
  <si>
    <t>Jonathan James</t>
  </si>
  <si>
    <t>1,190</t>
  </si>
  <si>
    <t>Barry Ronald [Barry]</t>
  </si>
  <si>
    <t>896</t>
  </si>
  <si>
    <t>Garrett</t>
  </si>
  <si>
    <t>Ann Christine</t>
  </si>
  <si>
    <t>Y</t>
  </si>
  <si>
    <t>142</t>
  </si>
  <si>
    <t>Jones</t>
  </si>
  <si>
    <t>80</t>
  </si>
  <si>
    <t>Price [Price]</t>
  </si>
  <si>
    <t>Frederick Franklin Marshall [Freddie]</t>
  </si>
  <si>
    <t>89</t>
  </si>
  <si>
    <t>00ABFX6</t>
  </si>
  <si>
    <t>00ABFX7</t>
  </si>
  <si>
    <t>00ABFX8</t>
  </si>
  <si>
    <t>00ABFX9</t>
  </si>
  <si>
    <t>Farnborough &amp; Crofton</t>
  </si>
  <si>
    <t>Bartholomew [Bartholomew]</t>
  </si>
  <si>
    <t>Louis [Lou]</t>
  </si>
  <si>
    <t>2,020</t>
  </si>
  <si>
    <t>Bowditch</t>
  </si>
  <si>
    <t>James</t>
  </si>
  <si>
    <t>2,062</t>
  </si>
  <si>
    <t>Catchpole</t>
  </si>
  <si>
    <t>Ian</t>
  </si>
  <si>
    <t>890</t>
  </si>
  <si>
    <t>Dourmoush [Dourmoush]</t>
  </si>
  <si>
    <t>Ahmet [Andy]</t>
  </si>
  <si>
    <t>3,341</t>
  </si>
  <si>
    <t>Guillemet</t>
  </si>
  <si>
    <t>Steven</t>
  </si>
  <si>
    <t>1,896</t>
  </si>
  <si>
    <t>Gulati</t>
  </si>
  <si>
    <t>Deepanshi Kaur</t>
  </si>
  <si>
    <t>Isa [Isa]</t>
  </si>
  <si>
    <t>Serife [Sheri]</t>
  </si>
  <si>
    <t>3,164</t>
  </si>
  <si>
    <t>Lewis</t>
  </si>
  <si>
    <t>Mary-Clare</t>
  </si>
  <si>
    <t>818</t>
  </si>
  <si>
    <t>Loosemore</t>
  </si>
  <si>
    <t>John</t>
  </si>
  <si>
    <t>792</t>
  </si>
  <si>
    <t>McNamara</t>
  </si>
  <si>
    <t>Christine Lesley</t>
  </si>
  <si>
    <t>754</t>
  </si>
  <si>
    <t>Page</t>
  </si>
  <si>
    <t>Angela</t>
  </si>
  <si>
    <t>3,376</t>
  </si>
  <si>
    <t>Seal</t>
  </si>
  <si>
    <t>Oscar Roy</t>
  </si>
  <si>
    <t>591</t>
  </si>
  <si>
    <t>Taylor [Taylor]</t>
  </si>
  <si>
    <t>Christopher William [Chris]</t>
  </si>
  <si>
    <t>Wiegerling</t>
  </si>
  <si>
    <t>Juergen</t>
  </si>
  <si>
    <t>681</t>
  </si>
  <si>
    <t>Hayes &amp; Coney Hall</t>
  </si>
  <si>
    <t>Ayres</t>
  </si>
  <si>
    <t>807</t>
  </si>
  <si>
    <t>Chant</t>
  </si>
  <si>
    <t>Sarah Louise</t>
  </si>
  <si>
    <t>1,173</t>
  </si>
  <si>
    <t>Coldspring-White [Coldspring-White]</t>
  </si>
  <si>
    <t>Joshua Callum [Josh]</t>
  </si>
  <si>
    <t>3,732</t>
  </si>
  <si>
    <t>Gibbs</t>
  </si>
  <si>
    <t>Margaret Helen</t>
  </si>
  <si>
    <t>535</t>
  </si>
  <si>
    <t>Griffiths [Griffiths]</t>
  </si>
  <si>
    <t>Owen Tudor [Tudor]</t>
  </si>
  <si>
    <t>601</t>
  </si>
  <si>
    <t>Johnstone</t>
  </si>
  <si>
    <t>Elizabeth Ruth</t>
  </si>
  <si>
    <t>795</t>
  </si>
  <si>
    <t>Kennedy [Kennedy]</t>
  </si>
  <si>
    <t>Augustine James [Gus]</t>
  </si>
  <si>
    <t>1,541</t>
  </si>
  <si>
    <t>Alexa Christine Anne</t>
  </si>
  <si>
    <t>3,588</t>
  </si>
  <si>
    <t>Nwulu Oladipupo</t>
  </si>
  <si>
    <t>Henrietta</t>
  </si>
  <si>
    <t>1,293</t>
  </si>
  <si>
    <t>Rahman</t>
  </si>
  <si>
    <t>Rayhan</t>
  </si>
  <si>
    <t>602</t>
  </si>
  <si>
    <t>Smith [Smith]</t>
  </si>
  <si>
    <t>Diane Helen [Diane]</t>
  </si>
  <si>
    <t>3,363</t>
  </si>
  <si>
    <t>Weaks</t>
  </si>
  <si>
    <t>Nicholas</t>
  </si>
  <si>
    <t>332</t>
  </si>
  <si>
    <t>Williams [Williams]</t>
  </si>
  <si>
    <t>Andrew George [Andrew]</t>
  </si>
  <si>
    <t>1,479</t>
  </si>
  <si>
    <t>Kelsey &amp; Eden Park</t>
  </si>
  <si>
    <t>Aldridge [Aldridge]</t>
  </si>
  <si>
    <t>Matthew John [Matt]</t>
  </si>
  <si>
    <t>1,826</t>
  </si>
  <si>
    <t>Amis</t>
  </si>
  <si>
    <t>Mark Christopher</t>
  </si>
  <si>
    <t>2,468</t>
  </si>
  <si>
    <t>Doble</t>
  </si>
  <si>
    <t>Michael George</t>
  </si>
  <si>
    <t>2,467</t>
  </si>
  <si>
    <t>Jackson</t>
  </si>
  <si>
    <t>Robert Andrew</t>
  </si>
  <si>
    <t>509</t>
  </si>
  <si>
    <t>Paul Nicholas Robert</t>
  </si>
  <si>
    <t>907</t>
  </si>
  <si>
    <t>Knowles-Weir [Knowles-Weir]</t>
  </si>
  <si>
    <t>Zach Matthew [Zach]</t>
  </si>
  <si>
    <t>759</t>
  </si>
  <si>
    <t>Matthews</t>
  </si>
  <si>
    <t>Taylor Roger Charlie</t>
  </si>
  <si>
    <t>412</t>
  </si>
  <si>
    <t>Mutti [Mutti]</t>
  </si>
  <si>
    <t>Luisa [Lisa]</t>
  </si>
  <si>
    <t>785</t>
  </si>
  <si>
    <t>Nevard</t>
  </si>
  <si>
    <t>Caroline</t>
  </si>
  <si>
    <t>1,075</t>
  </si>
  <si>
    <t>Owens [Owens]</t>
  </si>
  <si>
    <t>Juliet Magdalen Elizabeth [Ju]</t>
  </si>
  <si>
    <t>1,649</t>
  </si>
  <si>
    <t>Christopher William Stuart</t>
  </si>
  <si>
    <t>2,209</t>
  </si>
  <si>
    <t>Saunders [Saunders]</t>
  </si>
  <si>
    <t>Louie Jake [Louie]</t>
  </si>
  <si>
    <t>1,046</t>
  </si>
  <si>
    <t>Slade</t>
  </si>
  <si>
    <t>Daniel</t>
  </si>
  <si>
    <t>1,031</t>
  </si>
  <si>
    <t>Thorpe [Thorpe]</t>
  </si>
  <si>
    <t>Matthew Joseph [Matt]</t>
  </si>
  <si>
    <t>387</t>
  </si>
  <si>
    <t>Williams</t>
  </si>
  <si>
    <t>Anne</t>
  </si>
  <si>
    <t>1,664</t>
  </si>
  <si>
    <t>Mottingham</t>
  </si>
  <si>
    <t>Adeduntan [Adeduntan]</t>
  </si>
  <si>
    <t>Sarah Temitope [Sarah]</t>
  </si>
  <si>
    <t>200</t>
  </si>
  <si>
    <t>Cordwell [Cordwell]</t>
  </si>
  <si>
    <t>Giles Andrew Watson [Giles]</t>
  </si>
  <si>
    <t>976</t>
  </si>
  <si>
    <t>McKenley-Osbourne</t>
  </si>
  <si>
    <t>Zarreena Jameela</t>
  </si>
  <si>
    <t>669</t>
  </si>
  <si>
    <t>Pead</t>
  </si>
  <si>
    <t>John Leslie</t>
  </si>
  <si>
    <t>649</t>
  </si>
  <si>
    <t>Rowlands [Rowlands]</t>
  </si>
  <si>
    <t>William Michael [Will]</t>
  </si>
  <si>
    <t>885</t>
  </si>
  <si>
    <t>Sage [Sage]</t>
  </si>
  <si>
    <t>Louise Christine [Louise]</t>
  </si>
  <si>
    <t>923</t>
  </si>
  <si>
    <t>Harriet Josephine Eileen [Harriet]</t>
  </si>
  <si>
    <t>Joshua Lloyd Stephen [Josh]</t>
  </si>
  <si>
    <t>465</t>
  </si>
  <si>
    <t>Tulacz</t>
  </si>
  <si>
    <t>Jamie Andrew</t>
  </si>
  <si>
    <t>478</t>
  </si>
  <si>
    <t>Victoria Elizabeth [Vicki]</t>
  </si>
  <si>
    <t>174</t>
  </si>
  <si>
    <t>Orpington</t>
  </si>
  <si>
    <t>Kim Davina [Kim]</t>
  </si>
  <si>
    <t>1,960</t>
  </si>
  <si>
    <t>Clark</t>
  </si>
  <si>
    <t>Malcolm Douglas</t>
  </si>
  <si>
    <t>413</t>
  </si>
  <si>
    <t>Dees</t>
  </si>
  <si>
    <t>532</t>
  </si>
  <si>
    <t>Malone</t>
  </si>
  <si>
    <t>Patrick Lewis</t>
  </si>
  <si>
    <t>351</t>
  </si>
  <si>
    <t>Sawyer [Sawyer]</t>
  </si>
  <si>
    <t>Dean Anthony [Dean]</t>
  </si>
  <si>
    <t>Scoates [Scoates]</t>
  </si>
  <si>
    <t>Richard William [Richard]</t>
  </si>
  <si>
    <t>1,102</t>
  </si>
  <si>
    <t>Sollitt</t>
  </si>
  <si>
    <t>Steven Roy</t>
  </si>
  <si>
    <t>762</t>
  </si>
  <si>
    <t>Tunnicliffe</t>
  </si>
  <si>
    <t>Pauline Anne</t>
  </si>
  <si>
    <t>1,690</t>
  </si>
  <si>
    <t>Tweddle</t>
  </si>
  <si>
    <t>Allan Joseph James</t>
  </si>
  <si>
    <t>686</t>
  </si>
  <si>
    <t>Penge &amp; Cator</t>
  </si>
  <si>
    <t>Allen-Taylor</t>
  </si>
  <si>
    <t>Kyle Anthony Royalton</t>
  </si>
  <si>
    <t>2,003</t>
  </si>
  <si>
    <t>Bance [Bance]</t>
  </si>
  <si>
    <t>Katherine Mary [Kathy]</t>
  </si>
  <si>
    <t>3,007</t>
  </si>
  <si>
    <t>Elected</t>
  </si>
  <si>
    <t>Dearing</t>
  </si>
  <si>
    <t>Sarah Juliet</t>
  </si>
  <si>
    <t>2,061</t>
  </si>
  <si>
    <t>Gandecha</t>
  </si>
  <si>
    <t>Suraj Rajesh</t>
  </si>
  <si>
    <t>Huntington-Thresher</t>
  </si>
  <si>
    <t>William Keith Ernest</t>
  </si>
  <si>
    <t>530</t>
  </si>
  <si>
    <t>Jeal [Jeal]</t>
  </si>
  <si>
    <t>Simon David [Simon]</t>
  </si>
  <si>
    <t>2,661</t>
  </si>
  <si>
    <t>Kennedy-Brooks [Kennedy-Brooks]</t>
  </si>
  <si>
    <t>Kevin Charles [Kevin]</t>
  </si>
  <si>
    <t>2,489</t>
  </si>
  <si>
    <t>Maxwell</t>
  </si>
  <si>
    <t>Lindsay Victoria</t>
  </si>
  <si>
    <t>311</t>
  </si>
  <si>
    <t>Meyer</t>
  </si>
  <si>
    <t>Daniel Philip</t>
  </si>
  <si>
    <t>1,818</t>
  </si>
  <si>
    <t>Miller [Miller]</t>
  </si>
  <si>
    <t>Calum James [Calum]</t>
  </si>
  <si>
    <t>636</t>
  </si>
  <si>
    <t>Morrall [Morrall]</t>
  </si>
  <si>
    <t>David Geoffrey [David]</t>
  </si>
  <si>
    <t>610</t>
  </si>
  <si>
    <t>Power [Power]</t>
  </si>
  <si>
    <t>Anthony Tenison Hale [Tony]</t>
  </si>
  <si>
    <t>511</t>
  </si>
  <si>
    <t>Robinson [Robinson]</t>
  </si>
  <si>
    <t>Azatuhi [Mila]</t>
  </si>
  <si>
    <t>581</t>
  </si>
  <si>
    <t>Rutherford</t>
  </si>
  <si>
    <t>Michael James</t>
  </si>
  <si>
    <t>483</t>
  </si>
  <si>
    <t>Vongswang [Vongswang]</t>
  </si>
  <si>
    <t>Danai Peter [Dan]</t>
  </si>
  <si>
    <t>226</t>
  </si>
  <si>
    <t>Petts Wood &amp; Knoll</t>
  </si>
  <si>
    <t>Barnes</t>
  </si>
  <si>
    <t>George Andrew</t>
  </si>
  <si>
    <t>4,010</t>
  </si>
  <si>
    <t>Colaj</t>
  </si>
  <si>
    <t>Sara</t>
  </si>
  <si>
    <t>967</t>
  </si>
  <si>
    <t>Dasley [Dasley]</t>
  </si>
  <si>
    <t>Hugh Fraser [Hugh]</t>
  </si>
  <si>
    <t>1,419</t>
  </si>
  <si>
    <t>Fawthrop</t>
  </si>
  <si>
    <t>Simon Henry</t>
  </si>
  <si>
    <t>3,951</t>
  </si>
  <si>
    <t>Fisher [Fisher]</t>
  </si>
  <si>
    <t>Timothy Andrew [Tim]</t>
  </si>
  <si>
    <t>Gulvin [Gulvin]</t>
  </si>
  <si>
    <t>Benjamin Charles [Ben]</t>
  </si>
  <si>
    <t>1,383</t>
  </si>
  <si>
    <t>Hemming-Clark</t>
  </si>
  <si>
    <t>1,380</t>
  </si>
  <si>
    <t>Loxley [Loxley]</t>
  </si>
  <si>
    <t>Benedict Solomon Gaiger [Ben]</t>
  </si>
  <si>
    <t>791</t>
  </si>
  <si>
    <t>Mills</t>
  </si>
  <si>
    <t>Margaret Ann</t>
  </si>
  <si>
    <t>674</t>
  </si>
  <si>
    <t>Owen [Owen]</t>
  </si>
  <si>
    <t>Anthony Mervyn [Tony]</t>
  </si>
  <si>
    <t>3,879</t>
  </si>
  <si>
    <t>Sabelus</t>
  </si>
  <si>
    <t>Saskia Felicitas</t>
  </si>
  <si>
    <t>872</t>
  </si>
  <si>
    <t>Velvick</t>
  </si>
  <si>
    <t>Thomas Wimal</t>
  </si>
  <si>
    <t>685</t>
  </si>
  <si>
    <t>Wretham</t>
  </si>
  <si>
    <t>Gareth Lloyd</t>
  </si>
  <si>
    <t>473</t>
  </si>
  <si>
    <t>Plaistow</t>
  </si>
  <si>
    <t>Dhesi [Dhesi]</t>
  </si>
  <si>
    <t>Paul James Tiger Singh [Paul]</t>
  </si>
  <si>
    <t>770</t>
  </si>
  <si>
    <t>Furniss</t>
  </si>
  <si>
    <t>Lesley Carol</t>
  </si>
  <si>
    <t>Peter Robert</t>
  </si>
  <si>
    <t>224</t>
  </si>
  <si>
    <t>Igoe [Igoe]</t>
  </si>
  <si>
    <t>Alisa Elaine Ide [Alisa]</t>
  </si>
  <si>
    <t>Independent</t>
  </si>
  <si>
    <t>569</t>
  </si>
  <si>
    <t>Ion</t>
  </si>
  <si>
    <t>Mary Elizabeth</t>
  </si>
  <si>
    <t>McCormack [McCormack]</t>
  </si>
  <si>
    <t>Ian Michael [Ian]</t>
  </si>
  <si>
    <t>McPartlan [McPartlan]</t>
  </si>
  <si>
    <t>Anthony James [Tony]</t>
  </si>
  <si>
    <t>1,127</t>
  </si>
  <si>
    <t>Morgan</t>
  </si>
  <si>
    <t>Elizabeth Hookway</t>
  </si>
  <si>
    <t>942</t>
  </si>
  <si>
    <t>Papayannakos</t>
  </si>
  <si>
    <t>Panos Robert</t>
  </si>
  <si>
    <t>1,328</t>
  </si>
  <si>
    <t>Puthenpurakal</t>
  </si>
  <si>
    <t>Alwin</t>
  </si>
  <si>
    <t>1,148</t>
  </si>
  <si>
    <t>Stevens [Stevens]</t>
  </si>
  <si>
    <t>Gary Ernest [Gary]</t>
  </si>
  <si>
    <t>784</t>
  </si>
  <si>
    <t>Shortlands &amp; Park Langley</t>
  </si>
  <si>
    <t>Aboushagor</t>
  </si>
  <si>
    <t>Amin</t>
  </si>
  <si>
    <t>969</t>
  </si>
  <si>
    <t>Apostolides [Apostolides]</t>
  </si>
  <si>
    <t>Demetrios Angelo Edward [Edward]</t>
  </si>
  <si>
    <t>1,064</t>
  </si>
  <si>
    <t>Beecroft</t>
  </si>
  <si>
    <t>596</t>
  </si>
  <si>
    <t>Emerson</t>
  </si>
  <si>
    <t>Gail</t>
  </si>
  <si>
    <t>1,021</t>
  </si>
  <si>
    <t>Fox</t>
  </si>
  <si>
    <t>Sarah Annabel</t>
  </si>
  <si>
    <t>671</t>
  </si>
  <si>
    <t>Grant [Grant]</t>
  </si>
  <si>
    <t>Michael Adam Jude [Adam]</t>
  </si>
  <si>
    <t>3,121</t>
  </si>
  <si>
    <t>Gupta [Gupta]</t>
  </si>
  <si>
    <t>Serena Shyamali [Serena]</t>
  </si>
  <si>
    <t>3,018</t>
  </si>
  <si>
    <t>Hardy</t>
  </si>
  <si>
    <t>Jessica</t>
  </si>
  <si>
    <t>993</t>
  </si>
  <si>
    <t>Hudson [Hudson]</t>
  </si>
  <si>
    <t>Christopher Charles [Chris]</t>
  </si>
  <si>
    <t>Percy [Percy]</t>
  </si>
  <si>
    <t>Richard Terence [Richard]</t>
  </si>
  <si>
    <t>1,002</t>
  </si>
  <si>
    <t>Shahin</t>
  </si>
  <si>
    <t>924</t>
  </si>
  <si>
    <t>Jack Robert Cowood</t>
  </si>
  <si>
    <t>953</t>
  </si>
  <si>
    <t>Turrell [Turrell]</t>
  </si>
  <si>
    <t>Gemma Jade [Gemma]</t>
  </si>
  <si>
    <t>3,003</t>
  </si>
  <si>
    <t>Wells</t>
  </si>
  <si>
    <t>Stephen</t>
  </si>
  <si>
    <t>576</t>
  </si>
  <si>
    <t>Witham</t>
  </si>
  <si>
    <t>Hannah Moyne</t>
  </si>
  <si>
    <t>861</t>
  </si>
  <si>
    <t>St Mary Cray</t>
  </si>
  <si>
    <t>Arthur</t>
  </si>
  <si>
    <t>Nathaniel</t>
  </si>
  <si>
    <t>718</t>
  </si>
  <si>
    <t>Bear [Bear]</t>
  </si>
  <si>
    <t>Yvonne Jasmine Mary [Yvonne]</t>
  </si>
  <si>
    <t>2,239</t>
  </si>
  <si>
    <t>Rebecca Elizabeth</t>
  </si>
  <si>
    <t>350</t>
  </si>
  <si>
    <t>Edward Donald</t>
  </si>
  <si>
    <t>261</t>
  </si>
  <si>
    <t>Honess</t>
  </si>
  <si>
    <t>Richard</t>
  </si>
  <si>
    <t>640</t>
  </si>
  <si>
    <t>Ibrahim [Ibrahim]</t>
  </si>
  <si>
    <t>Halimot Iretiola [Hali]</t>
  </si>
  <si>
    <t>698</t>
  </si>
  <si>
    <t>Loosemore [Loosemore]</t>
  </si>
  <si>
    <t>Oliver [Olly]</t>
  </si>
  <si>
    <t>McCauley [McCauley]</t>
  </si>
  <si>
    <t>Seamus William John [Seamus]</t>
  </si>
  <si>
    <t>Michaelis [Michaelis]</t>
  </si>
  <si>
    <t>John Reuben [John]</t>
  </si>
  <si>
    <t>1,637</t>
  </si>
  <si>
    <t>Pearson [Pearson]</t>
  </si>
  <si>
    <t>Matthew Lee Alan [Matthew]</t>
  </si>
  <si>
    <t>1,599</t>
  </si>
  <si>
    <t>Rest</t>
  </si>
  <si>
    <t>Jake Paul</t>
  </si>
  <si>
    <t>660</t>
  </si>
  <si>
    <t>Rushworth [Rushworth]</t>
  </si>
  <si>
    <t>Claire Marianne [Claire]</t>
  </si>
  <si>
    <t>1,578</t>
  </si>
  <si>
    <t>Slator</t>
  </si>
  <si>
    <t>Shaun</t>
  </si>
  <si>
    <t>2,154</t>
  </si>
  <si>
    <t>Stranger</t>
  </si>
  <si>
    <t>Harry Randolph</t>
  </si>
  <si>
    <t>2,011</t>
  </si>
  <si>
    <t>Ubochi</t>
  </si>
  <si>
    <t>Julius Ugochukwu</t>
  </si>
  <si>
    <t>521</t>
  </si>
  <si>
    <t>St Paul's Cray</t>
  </si>
  <si>
    <t>Adediran [Adediran]</t>
  </si>
  <si>
    <t>Kayode Bolarinwa [Bola]</t>
  </si>
  <si>
    <t>1,138</t>
  </si>
  <si>
    <t>Barker</t>
  </si>
  <si>
    <t>Katharine Elizabeth</t>
  </si>
  <si>
    <t>651</t>
  </si>
  <si>
    <t>Loosemore-Reppen</t>
  </si>
  <si>
    <t>Gerda Claire</t>
  </si>
  <si>
    <t>278</t>
  </si>
  <si>
    <t>Marlow</t>
  </si>
  <si>
    <t>Christopher David</t>
  </si>
  <si>
    <t>1,588</t>
  </si>
  <si>
    <t>Miller</t>
  </si>
  <si>
    <t>Dean James</t>
  </si>
  <si>
    <t>1,534</t>
  </si>
  <si>
    <t>Newitt</t>
  </si>
  <si>
    <t>Richard James</t>
  </si>
  <si>
    <t>242</t>
  </si>
  <si>
    <t>Oleka [Oleka]</t>
  </si>
  <si>
    <t>James Ogechukwu [James]</t>
  </si>
  <si>
    <t>1,008</t>
  </si>
  <si>
    <t>Palmer</t>
  </si>
  <si>
    <t>Janvier Nadene Dorrance Yimbo</t>
  </si>
  <si>
    <t>901</t>
  </si>
  <si>
    <t>Christopher John [Chris]</t>
  </si>
  <si>
    <t>1,139</t>
  </si>
  <si>
    <t>Deborah May [Debbie]</t>
  </si>
  <si>
    <t>1,016</t>
  </si>
  <si>
    <t>Rawles [Rawles]</t>
  </si>
  <si>
    <t>William Heywood [William]</t>
  </si>
  <si>
    <t>1,445</t>
  </si>
  <si>
    <t>Swift</t>
  </si>
  <si>
    <t>Jonathan</t>
  </si>
  <si>
    <t>234</t>
  </si>
  <si>
    <t>Anthony James</t>
  </si>
  <si>
    <t>1,012</t>
  </si>
  <si>
    <t>West Wickham</t>
  </si>
  <si>
    <t>Bently</t>
  </si>
  <si>
    <t>Peter Lionel Rothwell</t>
  </si>
  <si>
    <t>964</t>
  </si>
  <si>
    <t>Burden</t>
  </si>
  <si>
    <t>Daniel Michael</t>
  </si>
  <si>
    <t>3,248</t>
  </si>
  <si>
    <t>Davenport [Davenport]</t>
  </si>
  <si>
    <t>Christopher [Chris]</t>
  </si>
  <si>
    <t>Davis</t>
  </si>
  <si>
    <t>Olga</t>
  </si>
  <si>
    <t>845</t>
  </si>
  <si>
    <t>Farnham [Farnham]</t>
  </si>
  <si>
    <t>Raymond Robert [Ray]</t>
  </si>
  <si>
    <t>Gee [Gee]</t>
  </si>
  <si>
    <t>Robert Hilary [Hilary]</t>
  </si>
  <si>
    <t>808</t>
  </si>
  <si>
    <t>Gray [Gray]</t>
  </si>
  <si>
    <t>Jennifer Hannah [Hannah]</t>
  </si>
  <si>
    <t>3,123</t>
  </si>
  <si>
    <t>Harris</t>
  </si>
  <si>
    <t>Christine</t>
  </si>
  <si>
    <t>3,093</t>
  </si>
  <si>
    <t>Hulm</t>
  </si>
  <si>
    <t>Angela Rahil</t>
  </si>
  <si>
    <t>Richard Michael</t>
  </si>
  <si>
    <t>313</t>
  </si>
  <si>
    <t>Mansaray [Mansaray]</t>
  </si>
  <si>
    <t>Anna Gemma Mary [Anna]</t>
  </si>
  <si>
    <t>704</t>
  </si>
  <si>
    <t>O`Keefe [Percy]</t>
  </si>
  <si>
    <t>Deborah [Deborah]</t>
  </si>
  <si>
    <t>1,134</t>
  </si>
  <si>
    <t>Quinn</t>
  </si>
  <si>
    <t>Lewis James</t>
  </si>
  <si>
    <t>774</t>
  </si>
  <si>
    <t>Laura Janet [Laura]</t>
  </si>
  <si>
    <t>1,094</t>
  </si>
  <si>
    <t>466</t>
  </si>
  <si>
    <t>289</t>
  </si>
  <si>
    <t>498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</si>
</sst>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1" x14ac:knownFonts="1">
    <font>
      <sz val="1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  <font>
      <sz val="11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8.25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FF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7" fillId="0" borderId="0"/>
  </cellStyleXfs>
  <cellXfs count="46">
    <xf numFmtId="0" fontId="0" fillId="0" borderId="0" xfId="0"/>
    <xf numFmtId="0" fontId="1" fillId="2" borderId="0" xfId="0" applyFont="1" applyFill="1"/>
    <xf numFmtId="3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3" xfId="0" applyNumberFormat="1" applyFont="1" applyBorder="1" applyAlignment="1">
      <alignment horizontal="left"/>
    </xf>
    <xf numFmtId="49" fontId="1" fillId="0" borderId="4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/>
    </xf>
    <xf numFmtId="49" fontId="1" fillId="0" borderId="6" xfId="0" applyNumberFormat="1" applyFont="1" applyBorder="1" applyAlignment="1">
      <alignment horizontal="left"/>
    </xf>
    <xf numFmtId="164" fontId="1" fillId="2" borderId="7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NumberFormat="1" applyFont="1" applyFill="1" applyBorder="1" applyAlignment="1">
      <alignment horizontal="center" wrapText="1"/>
    </xf>
    <xf numFmtId="1" fontId="8" fillId="0" borderId="8" xfId="1" applyNumberFormat="1" applyFont="1" applyBorder="1"/>
    <xf numFmtId="1" fontId="8" fillId="0" borderId="0" xfId="1" applyNumberFormat="1" applyFont="1"/>
    <xf numFmtId="1" fontId="9" fillId="0" borderId="0" xfId="1" applyNumberFormat="1" applyFont="1" applyAlignment="1">
      <alignment vertical="top"/>
    </xf>
    <xf numFmtId="10" fontId="9" fillId="0" borderId="0" xfId="1" applyNumberFormat="1" applyFont="1" applyAlignment="1">
      <alignment vertical="top"/>
    </xf>
    <xf numFmtId="1" fontId="8" fillId="0" borderId="7" xfId="1" applyNumberFormat="1" applyFont="1" applyBorder="1"/>
    <xf numFmtId="1" fontId="9" fillId="0" borderId="7" xfId="1" applyNumberFormat="1" applyFont="1" applyBorder="1" applyAlignment="1">
      <alignment vertical="top"/>
    </xf>
    <xf numFmtId="10" fontId="9" fillId="0" borderId="7" xfId="1" applyNumberFormat="1" applyFont="1" applyBorder="1" applyAlignment="1">
      <alignment vertical="top"/>
    </xf>
    <xf numFmtId="49" fontId="1" fillId="0" borderId="9" xfId="0" applyNumberFormat="1" applyFont="1" applyBorder="1" applyAlignment="1">
      <alignment horizontal="left"/>
    </xf>
    <xf numFmtId="49" fontId="1" fillId="0" borderId="10" xfId="0" applyNumberFormat="1" applyFont="1" applyBorder="1" applyAlignment="1">
      <alignment horizontal="left"/>
    </xf>
    <xf numFmtId="49" fontId="10" fillId="3" borderId="12" xfId="0" applyNumberFormat="1" applyFont="1" applyFill="1" applyBorder="1" applyAlignment="1">
      <alignment horizontal="left" vertical="center" readingOrder="1"/>
    </xf>
    <xf numFmtId="49" fontId="10" fillId="3" borderId="11" xfId="0" applyNumberFormat="1" applyFont="1" applyFill="1" applyBorder="1" applyAlignment="1">
      <alignment horizontal="left" vertical="center" readingOrder="1"/>
    </xf>
    <xf numFmtId="49" fontId="1" fillId="0" borderId="11" xfId="0" applyNumberFormat="1" applyFont="1" applyBorder="1" applyAlignment="1">
      <alignment horizontal="left"/>
    </xf>
    <xf numFmtId="0" fontId="2" fillId="0" borderId="11" xfId="0" applyFont="1" applyBorder="1" applyAlignment="1">
      <alignment vertical="center"/>
    </xf>
    <xf numFmtId="3" fontId="2" fillId="0" borderId="11" xfId="0" applyNumberFormat="1" applyFont="1" applyBorder="1" applyAlignment="1">
      <alignment vertical="center"/>
    </xf>
    <xf numFmtId="49" fontId="10" fillId="4" borderId="0" xfId="0" applyNumberFormat="1" applyFont="1" applyFill="1" applyAlignment="1">
      <alignment horizontal="left" vertical="center" readingOrder="1"/>
    </xf>
    <xf numFmtId="49" fontId="1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vertical="center"/>
    </xf>
    <xf numFmtId="3" fontId="2" fillId="4" borderId="0" xfId="0" applyNumberFormat="1" applyFont="1" applyFill="1" applyAlignment="1">
      <alignment vertical="center"/>
    </xf>
    <xf numFmtId="49" fontId="10" fillId="3" borderId="0" xfId="0" applyNumberFormat="1" applyFont="1" applyFill="1" applyAlignment="1">
      <alignment horizontal="left" vertical="center" readingOrder="1"/>
    </xf>
    <xf numFmtId="49" fontId="1" fillId="0" borderId="0" xfId="0" applyNumberFormat="1" applyFont="1" applyAlignment="1">
      <alignment horizontal="left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2" fillId="0" borderId="0" xfId="0" applyFont="1" applyAlignment="1">
      <alignment horizontal="left" vertical="center"/>
    </xf>
  </cellXfs>
  <cellStyles count="2">
    <cellStyle name="Normal" xfId="0" builtinId="0"/>
    <cellStyle name="Normal_Sheet1" xfId="1" xr:uid="{605F0EAE-F28E-4312-9D3A-ED1AFE734255}"/>
  </cellStyles>
  <dxfs count="132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I44"/>
  <sheetViews>
    <sheetView showGridLines="0" tabSelected="1" zoomScaleNormal="100" workbookViewId="0">
      <selection activeCell="F47" sqref="F47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20.77734375" bestFit="1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27.6" x14ac:dyDescent="0.25">
      <c r="A5" s="5" t="s">
        <v>5</v>
      </c>
      <c r="B5" s="21"/>
      <c r="C5" s="21"/>
      <c r="D5" s="21"/>
      <c r="E5" s="21"/>
      <c r="F5" s="21"/>
      <c r="G5" s="17" t="s">
        <v>6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12443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6234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4926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1308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0.50100458088885313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14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8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6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4.25" customHeight="1" x14ac:dyDescent="0.25">
      <c r="A20" s="6">
        <v>1</v>
      </c>
      <c r="B20" s="33" t="s">
        <v>28</v>
      </c>
      <c r="C20" s="33" t="s">
        <v>29</v>
      </c>
      <c r="D20" s="34"/>
      <c r="E20" s="35" t="s">
        <v>30</v>
      </c>
      <c r="F20" s="36">
        <v>1753</v>
      </c>
      <c r="G20" s="34"/>
      <c r="H20" s="9"/>
      <c r="I20" s="1"/>
    </row>
    <row r="21" spans="1:9" ht="14.25" customHeight="1" x14ac:dyDescent="0.25">
      <c r="A21" s="6">
        <v>2</v>
      </c>
      <c r="B21" s="37" t="s">
        <v>31</v>
      </c>
      <c r="C21" s="37" t="s">
        <v>32</v>
      </c>
      <c r="D21" s="38" t="s">
        <v>33</v>
      </c>
      <c r="E21" s="39" t="s">
        <v>34</v>
      </c>
      <c r="F21" s="40">
        <v>2043</v>
      </c>
      <c r="G21" s="38" t="s">
        <v>35</v>
      </c>
      <c r="H21" s="9"/>
      <c r="I21" s="1"/>
    </row>
    <row r="22" spans="1:9" ht="14.25" customHeight="1" x14ac:dyDescent="0.25">
      <c r="A22" s="6">
        <v>3</v>
      </c>
      <c r="B22" s="41" t="s">
        <v>36</v>
      </c>
      <c r="C22" s="41" t="s">
        <v>37</v>
      </c>
      <c r="D22" s="42" t="s">
        <v>33</v>
      </c>
      <c r="E22" s="43" t="s">
        <v>38</v>
      </c>
      <c r="F22" s="43">
        <v>858</v>
      </c>
      <c r="G22" s="42"/>
      <c r="H22" s="9"/>
      <c r="I22" s="1"/>
    </row>
    <row r="23" spans="1:9" ht="14.25" customHeight="1" x14ac:dyDescent="0.25">
      <c r="A23" s="6">
        <v>4</v>
      </c>
      <c r="B23" s="37" t="s">
        <v>39</v>
      </c>
      <c r="C23" s="37" t="s">
        <v>40</v>
      </c>
      <c r="D23" s="38"/>
      <c r="E23" s="39" t="s">
        <v>38</v>
      </c>
      <c r="F23" s="39">
        <v>721</v>
      </c>
      <c r="G23" s="38"/>
      <c r="H23" s="9"/>
      <c r="I23" s="1"/>
    </row>
    <row r="24" spans="1:9" ht="13.8" x14ac:dyDescent="0.25">
      <c r="A24" s="6">
        <v>5</v>
      </c>
      <c r="B24" s="41" t="s">
        <v>41</v>
      </c>
      <c r="C24" s="41" t="s">
        <v>42</v>
      </c>
      <c r="D24" s="42"/>
      <c r="E24" s="43" t="s">
        <v>38</v>
      </c>
      <c r="F24" s="43">
        <v>645</v>
      </c>
      <c r="G24" s="42"/>
      <c r="H24" s="9"/>
      <c r="I24" s="1"/>
    </row>
    <row r="25" spans="1:9" ht="14.25" customHeight="1" x14ac:dyDescent="0.25">
      <c r="A25" s="6">
        <v>6</v>
      </c>
      <c r="B25" s="37" t="s">
        <v>43</v>
      </c>
      <c r="C25" s="37" t="s">
        <v>44</v>
      </c>
      <c r="D25" s="38" t="s">
        <v>33</v>
      </c>
      <c r="E25" s="39" t="s">
        <v>45</v>
      </c>
      <c r="F25" s="39">
        <v>869</v>
      </c>
      <c r="G25" s="38"/>
      <c r="H25" s="9"/>
      <c r="I25" s="1"/>
    </row>
    <row r="26" spans="1:9" ht="13.8" x14ac:dyDescent="0.25">
      <c r="A26" s="6">
        <v>7</v>
      </c>
      <c r="B26" s="41" t="s">
        <v>46</v>
      </c>
      <c r="C26" s="41" t="s">
        <v>47</v>
      </c>
      <c r="D26" s="42"/>
      <c r="E26" s="43" t="s">
        <v>34</v>
      </c>
      <c r="F26" s="44">
        <v>2042</v>
      </c>
      <c r="G26" s="42" t="s">
        <v>35</v>
      </c>
      <c r="H26" s="9"/>
      <c r="I26" s="1"/>
    </row>
    <row r="27" spans="1:9" ht="13.8" x14ac:dyDescent="0.25">
      <c r="A27" s="6">
        <v>8</v>
      </c>
      <c r="B27" s="37" t="s">
        <v>48</v>
      </c>
      <c r="C27" s="37" t="s">
        <v>49</v>
      </c>
      <c r="D27" s="38"/>
      <c r="E27" s="39" t="s">
        <v>45</v>
      </c>
      <c r="F27" s="39">
        <v>835</v>
      </c>
      <c r="G27" s="38"/>
      <c r="H27" s="9"/>
      <c r="I27" s="1"/>
    </row>
    <row r="28" spans="1:9" ht="13.8" x14ac:dyDescent="0.25">
      <c r="A28" s="6">
        <v>9</v>
      </c>
      <c r="B28" s="41" t="s">
        <v>50</v>
      </c>
      <c r="C28" s="41" t="s">
        <v>51</v>
      </c>
      <c r="D28" s="42"/>
      <c r="E28" s="43" t="s">
        <v>30</v>
      </c>
      <c r="F28" s="44">
        <v>1652</v>
      </c>
      <c r="G28" s="42"/>
      <c r="H28" s="9"/>
      <c r="I28" s="1"/>
    </row>
    <row r="29" spans="1:9" ht="14.25" customHeight="1" x14ac:dyDescent="0.25">
      <c r="A29" s="6">
        <v>10</v>
      </c>
      <c r="B29" s="37" t="s">
        <v>52</v>
      </c>
      <c r="C29" s="37" t="s">
        <v>53</v>
      </c>
      <c r="D29" s="38"/>
      <c r="E29" s="39" t="s">
        <v>45</v>
      </c>
      <c r="F29" s="39">
        <v>704</v>
      </c>
      <c r="G29" s="38"/>
      <c r="H29" s="9"/>
      <c r="I29" s="1"/>
    </row>
    <row r="30" spans="1:9" ht="14.25" customHeight="1" x14ac:dyDescent="0.25">
      <c r="A30" s="6">
        <v>11</v>
      </c>
      <c r="B30" s="41" t="s">
        <v>54</v>
      </c>
      <c r="C30" s="41" t="s">
        <v>55</v>
      </c>
      <c r="D30" s="42" t="s">
        <v>33</v>
      </c>
      <c r="E30" s="43" t="s">
        <v>34</v>
      </c>
      <c r="F30" s="44">
        <v>2257</v>
      </c>
      <c r="G30" s="42" t="s">
        <v>35</v>
      </c>
      <c r="H30" s="9"/>
      <c r="I30" s="1"/>
    </row>
    <row r="31" spans="1:9" ht="13.8" x14ac:dyDescent="0.25">
      <c r="A31" s="6">
        <v>12</v>
      </c>
      <c r="B31" s="37" t="s">
        <v>56</v>
      </c>
      <c r="C31" s="37" t="s">
        <v>57</v>
      </c>
      <c r="D31" s="38"/>
      <c r="E31" s="39" t="s">
        <v>30</v>
      </c>
      <c r="F31" s="40">
        <v>1825</v>
      </c>
      <c r="G31" s="38"/>
      <c r="H31" s="9"/>
      <c r="I31" s="1"/>
    </row>
    <row r="32" spans="1:9" ht="13.8" x14ac:dyDescent="0.25">
      <c r="A32" s="6">
        <v>13</v>
      </c>
      <c r="B32" s="41" t="s">
        <v>58</v>
      </c>
      <c r="C32" s="41" t="s">
        <v>59</v>
      </c>
      <c r="D32" s="42"/>
      <c r="E32" s="45" t="s">
        <v>60</v>
      </c>
      <c r="F32" s="43">
        <v>769</v>
      </c>
      <c r="G32" s="42"/>
      <c r="H32" s="9"/>
      <c r="I32" s="1"/>
    </row>
    <row r="33" spans="1:9" ht="13.8" x14ac:dyDescent="0.25">
      <c r="A33" s="6">
        <v>14</v>
      </c>
      <c r="B33" s="37" t="s">
        <v>61</v>
      </c>
      <c r="C33" s="37" t="s">
        <v>62</v>
      </c>
      <c r="D33" s="38" t="s">
        <v>33</v>
      </c>
      <c r="E33" s="39" t="s">
        <v>60</v>
      </c>
      <c r="F33" s="39">
        <v>724</v>
      </c>
      <c r="G33" s="38"/>
      <c r="H33" s="9"/>
      <c r="I33" s="1"/>
    </row>
    <row r="34" spans="1:9" ht="13.8" x14ac:dyDescent="0.25">
      <c r="A34" s="6">
        <v>15</v>
      </c>
      <c r="B34" s="41" t="s">
        <v>63</v>
      </c>
      <c r="C34" s="41" t="s">
        <v>64</v>
      </c>
      <c r="D34" s="42"/>
      <c r="E34" s="43" t="s">
        <v>60</v>
      </c>
      <c r="F34" s="43">
        <v>687</v>
      </c>
      <c r="G34" s="42"/>
      <c r="H34" s="9"/>
      <c r="I34" s="1"/>
    </row>
    <row r="35" spans="1:9" ht="13.8" x14ac:dyDescent="0.25">
      <c r="A35" s="6">
        <v>16</v>
      </c>
      <c r="B35" s="42"/>
      <c r="C35" s="42"/>
      <c r="D35" s="42"/>
      <c r="E35" s="42"/>
      <c r="F35" s="42"/>
      <c r="G35" s="42"/>
      <c r="H35" s="9" t="s">
        <v>65</v>
      </c>
      <c r="I35" s="1"/>
    </row>
    <row r="36" spans="1:9" ht="14.25" customHeight="1" x14ac:dyDescent="0.25">
      <c r="A36" s="6">
        <v>17</v>
      </c>
      <c r="B36" s="42"/>
      <c r="C36" s="42"/>
      <c r="D36" s="42"/>
      <c r="E36" s="42"/>
      <c r="F36" s="42"/>
      <c r="G36" s="42"/>
      <c r="H36" s="9" t="s">
        <v>66</v>
      </c>
      <c r="I36" s="1"/>
    </row>
    <row r="37" spans="1:9" ht="13.8" x14ac:dyDescent="0.25">
      <c r="A37" s="6">
        <v>18</v>
      </c>
      <c r="B37" s="42"/>
      <c r="C37" s="42"/>
      <c r="D37" s="42"/>
      <c r="E37" s="42"/>
      <c r="F37" s="42"/>
      <c r="G37" s="42"/>
      <c r="H37" s="9" t="s">
        <v>67</v>
      </c>
      <c r="I37" s="1"/>
    </row>
    <row r="38" spans="1:9" ht="14.25" customHeight="1" x14ac:dyDescent="0.25">
      <c r="A38" s="6">
        <v>19</v>
      </c>
      <c r="B38" s="42"/>
      <c r="C38" s="42"/>
      <c r="D38" s="42"/>
      <c r="E38" s="42"/>
      <c r="F38" s="42"/>
      <c r="G38" s="42"/>
      <c r="H38" s="9" t="s">
        <v>68</v>
      </c>
      <c r="I38" s="1"/>
    </row>
    <row r="39" spans="1:9" ht="14.25" customHeight="1" x14ac:dyDescent="0.25">
      <c r="A39" s="6">
        <v>20</v>
      </c>
      <c r="B39" s="42"/>
      <c r="C39" s="42"/>
      <c r="D39" s="42"/>
      <c r="E39" s="42"/>
      <c r="F39" s="42"/>
      <c r="G39" s="42"/>
      <c r="H39" s="9" t="s">
        <v>69</v>
      </c>
      <c r="I39" s="1"/>
    </row>
    <row r="40" spans="1:9" ht="13.8" x14ac:dyDescent="0.25">
      <c r="A40" s="6">
        <v>21</v>
      </c>
      <c r="B40" s="42"/>
      <c r="C40" s="42"/>
      <c r="D40" s="42"/>
      <c r="E40" s="42"/>
      <c r="F40" s="42"/>
      <c r="G40" s="42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D34">
    <cfRule type="expression" dxfId="131" priority="7" stopIfTrue="1">
      <formula>MOD(ROW(),2)=0</formula>
    </cfRule>
    <cfRule type="expression" dxfId="130" priority="8" stopIfTrue="1">
      <formula>MOD(ROW(),2)=1</formula>
    </cfRule>
  </conditionalFormatting>
  <conditionalFormatting sqref="C20">
    <cfRule type="expression" dxfId="129" priority="5" stopIfTrue="1">
      <formula>MOD(ROW(),2)=0</formula>
    </cfRule>
    <cfRule type="expression" dxfId="128" priority="6" stopIfTrue="1">
      <formula>MOD(ROW(),2)=1</formula>
    </cfRule>
  </conditionalFormatting>
  <conditionalFormatting sqref="G20:G34 B35:G40">
    <cfRule type="expression" dxfId="127" priority="1" stopIfTrue="1">
      <formula>MOD(ROW(),2)=0</formula>
    </cfRule>
    <cfRule type="expression" dxfId="12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2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44"/>
  <sheetViews>
    <sheetView showGridLines="0" zoomScaleNormal="100" workbookViewId="0">
      <selection activeCell="G32" sqref="G32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7.44140625" bestFit="1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71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13644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7001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5341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1660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0.51311931984755199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5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1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4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72</v>
      </c>
      <c r="C20" s="32" t="s">
        <v>73</v>
      </c>
      <c r="D20" s="32"/>
      <c r="E20" s="32" t="s">
        <v>30</v>
      </c>
      <c r="F20" s="12" t="s">
        <v>74</v>
      </c>
      <c r="G20" s="30" t="s">
        <v>35</v>
      </c>
      <c r="H20" s="9"/>
      <c r="I20" s="1"/>
    </row>
    <row r="21" spans="1:9" ht="13.8" x14ac:dyDescent="0.25">
      <c r="A21" s="6">
        <v>2</v>
      </c>
      <c r="B21" s="32" t="s">
        <v>75</v>
      </c>
      <c r="C21" s="32" t="s">
        <v>76</v>
      </c>
      <c r="D21" s="32" t="s">
        <v>33</v>
      </c>
      <c r="E21" s="32" t="s">
        <v>45</v>
      </c>
      <c r="F21" s="15" t="s">
        <v>77</v>
      </c>
      <c r="G21" s="31"/>
      <c r="H21" s="9"/>
      <c r="I21" s="1"/>
    </row>
    <row r="22" spans="1:9" ht="13.8" x14ac:dyDescent="0.25">
      <c r="A22" s="6">
        <v>3</v>
      </c>
      <c r="B22" s="32" t="s">
        <v>78</v>
      </c>
      <c r="C22" s="32" t="s">
        <v>79</v>
      </c>
      <c r="D22" s="32"/>
      <c r="E22" s="32" t="s">
        <v>34</v>
      </c>
      <c r="F22" s="15" t="s">
        <v>80</v>
      </c>
      <c r="G22" s="31"/>
      <c r="H22" s="9"/>
      <c r="I22" s="1"/>
    </row>
    <row r="23" spans="1:9" ht="13.8" x14ac:dyDescent="0.25">
      <c r="A23" s="6">
        <v>4</v>
      </c>
      <c r="B23" s="32" t="s">
        <v>81</v>
      </c>
      <c r="C23" s="32" t="s">
        <v>82</v>
      </c>
      <c r="D23" s="32"/>
      <c r="E23" s="32" t="s">
        <v>34</v>
      </c>
      <c r="F23" s="15" t="s">
        <v>83</v>
      </c>
      <c r="G23" s="31"/>
      <c r="H23" s="9"/>
      <c r="I23" s="1"/>
    </row>
    <row r="24" spans="1:9" ht="13.8" x14ac:dyDescent="0.25">
      <c r="A24" s="6">
        <v>5</v>
      </c>
      <c r="B24" s="32" t="s">
        <v>84</v>
      </c>
      <c r="C24" s="32" t="s">
        <v>85</v>
      </c>
      <c r="D24" s="32"/>
      <c r="E24" s="32" t="s">
        <v>38</v>
      </c>
      <c r="F24" s="15" t="s">
        <v>86</v>
      </c>
      <c r="G24" s="31"/>
      <c r="H24" s="9"/>
      <c r="I24" s="1"/>
    </row>
    <row r="25" spans="1:9" ht="13.8" x14ac:dyDescent="0.25">
      <c r="A25" s="6">
        <v>6</v>
      </c>
      <c r="B25" s="32" t="s">
        <v>87</v>
      </c>
      <c r="C25" s="32" t="s">
        <v>88</v>
      </c>
      <c r="D25" s="32"/>
      <c r="E25" s="32" t="s">
        <v>60</v>
      </c>
      <c r="F25" s="15" t="s">
        <v>89</v>
      </c>
      <c r="G25" s="31"/>
      <c r="H25" s="9"/>
      <c r="I25" s="1"/>
    </row>
    <row r="26" spans="1:9" ht="13.8" x14ac:dyDescent="0.25">
      <c r="A26" s="6">
        <v>7</v>
      </c>
      <c r="B26" s="32" t="s">
        <v>90</v>
      </c>
      <c r="C26" s="32" t="s">
        <v>91</v>
      </c>
      <c r="D26" s="32"/>
      <c r="E26" s="32" t="s">
        <v>60</v>
      </c>
      <c r="F26" s="15" t="s">
        <v>92</v>
      </c>
      <c r="G26" s="31"/>
      <c r="H26" s="9"/>
      <c r="I26" s="1"/>
    </row>
    <row r="27" spans="1:9" ht="13.8" x14ac:dyDescent="0.25">
      <c r="A27" s="6">
        <v>8</v>
      </c>
      <c r="B27" s="32" t="s">
        <v>93</v>
      </c>
      <c r="C27" s="32" t="s">
        <v>94</v>
      </c>
      <c r="D27" s="32"/>
      <c r="E27" s="32" t="s">
        <v>38</v>
      </c>
      <c r="F27" s="15" t="s">
        <v>95</v>
      </c>
      <c r="G27" s="31"/>
      <c r="H27" s="9"/>
      <c r="I27" s="1"/>
    </row>
    <row r="28" spans="1:9" ht="13.8" x14ac:dyDescent="0.25">
      <c r="A28" s="6">
        <v>9</v>
      </c>
      <c r="B28" s="32" t="s">
        <v>96</v>
      </c>
      <c r="C28" s="32" t="s">
        <v>97</v>
      </c>
      <c r="D28" s="32"/>
      <c r="E28" s="32" t="s">
        <v>60</v>
      </c>
      <c r="F28" s="15" t="s">
        <v>98</v>
      </c>
      <c r="G28" s="31"/>
      <c r="H28" s="9"/>
      <c r="I28" s="1"/>
    </row>
    <row r="29" spans="1:9" ht="13.8" x14ac:dyDescent="0.25">
      <c r="A29" s="6">
        <v>10</v>
      </c>
      <c r="B29" s="32" t="s">
        <v>99</v>
      </c>
      <c r="C29" s="32" t="s">
        <v>100</v>
      </c>
      <c r="D29" s="32" t="s">
        <v>33</v>
      </c>
      <c r="E29" s="32" t="s">
        <v>30</v>
      </c>
      <c r="F29" s="15" t="s">
        <v>101</v>
      </c>
      <c r="G29" s="31" t="s">
        <v>35</v>
      </c>
      <c r="H29" s="9"/>
      <c r="I29" s="1"/>
    </row>
    <row r="30" spans="1:9" ht="13.8" x14ac:dyDescent="0.25">
      <c r="A30" s="6">
        <v>11</v>
      </c>
      <c r="B30" s="32" t="s">
        <v>102</v>
      </c>
      <c r="C30" s="32" t="s">
        <v>103</v>
      </c>
      <c r="D30" s="32"/>
      <c r="E30" s="32" t="s">
        <v>45</v>
      </c>
      <c r="F30" s="15" t="s">
        <v>104</v>
      </c>
      <c r="G30" s="31"/>
      <c r="H30" s="9"/>
      <c r="I30" s="1"/>
    </row>
    <row r="31" spans="1:9" ht="13.8" x14ac:dyDescent="0.25">
      <c r="A31" s="6">
        <v>12</v>
      </c>
      <c r="B31" s="32" t="s">
        <v>105</v>
      </c>
      <c r="C31" s="32" t="s">
        <v>106</v>
      </c>
      <c r="D31" s="32"/>
      <c r="E31" s="32" t="s">
        <v>38</v>
      </c>
      <c r="F31" s="15" t="s">
        <v>107</v>
      </c>
      <c r="G31" s="31"/>
      <c r="H31" s="9"/>
      <c r="I31" s="1"/>
    </row>
    <row r="32" spans="1:9" ht="13.8" x14ac:dyDescent="0.25">
      <c r="A32" s="6">
        <v>13</v>
      </c>
      <c r="B32" s="32" t="s">
        <v>108</v>
      </c>
      <c r="C32" s="32" t="s">
        <v>109</v>
      </c>
      <c r="D32" s="32"/>
      <c r="E32" s="32" t="s">
        <v>30</v>
      </c>
      <c r="F32" s="15" t="s">
        <v>110</v>
      </c>
      <c r="G32" s="31" t="s">
        <v>35</v>
      </c>
      <c r="H32" s="9"/>
      <c r="I32" s="1"/>
    </row>
    <row r="33" spans="1:9" ht="13.8" x14ac:dyDescent="0.25">
      <c r="A33" s="6">
        <v>14</v>
      </c>
      <c r="B33" s="32" t="s">
        <v>111</v>
      </c>
      <c r="C33" s="32" t="s">
        <v>112</v>
      </c>
      <c r="D33" s="32"/>
      <c r="E33" s="32" t="s">
        <v>45</v>
      </c>
      <c r="F33" s="15" t="s">
        <v>113</v>
      </c>
      <c r="G33" s="31"/>
      <c r="H33" s="9"/>
      <c r="I33" s="1"/>
    </row>
    <row r="34" spans="1:9" ht="13.8" x14ac:dyDescent="0.25">
      <c r="A34" s="6">
        <v>15</v>
      </c>
      <c r="B34" s="32" t="s">
        <v>114</v>
      </c>
      <c r="C34" s="32" t="s">
        <v>115</v>
      </c>
      <c r="D34" s="32"/>
      <c r="E34" s="32" t="s">
        <v>34</v>
      </c>
      <c r="F34" s="15" t="s">
        <v>116</v>
      </c>
      <c r="G34" s="31"/>
      <c r="H34" s="9"/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125" priority="7" stopIfTrue="1">
      <formula>MOD(ROW(),2)=0</formula>
    </cfRule>
    <cfRule type="expression" dxfId="124" priority="8" stopIfTrue="1">
      <formula>MOD(ROW(),2)=1</formula>
    </cfRule>
  </conditionalFormatting>
  <conditionalFormatting sqref="C20">
    <cfRule type="expression" dxfId="123" priority="5" stopIfTrue="1">
      <formula>MOD(ROW(),2)=0</formula>
    </cfRule>
    <cfRule type="expression" dxfId="122" priority="6" stopIfTrue="1">
      <formula>MOD(ROW(),2)=1</formula>
    </cfRule>
  </conditionalFormatting>
  <conditionalFormatting sqref="F20:G40">
    <cfRule type="expression" dxfId="121" priority="1" stopIfTrue="1">
      <formula>MOD(ROW(),2)=0</formula>
    </cfRule>
    <cfRule type="expression" dxfId="12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I44"/>
  <sheetViews>
    <sheetView showGridLines="0" zoomScaleNormal="100" workbookViewId="0">
      <selection activeCell="D23" sqref="D23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20.77734375" bestFit="1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117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118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8447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4558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3786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772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0.53959985793772935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6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0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6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119</v>
      </c>
      <c r="C20" s="32" t="s">
        <v>120</v>
      </c>
      <c r="D20" s="32"/>
      <c r="E20" s="32" t="s">
        <v>45</v>
      </c>
      <c r="F20" s="12" t="s">
        <v>121</v>
      </c>
      <c r="G20" s="30"/>
      <c r="H20" s="9"/>
      <c r="I20" s="1"/>
    </row>
    <row r="21" spans="1:9" ht="13.8" x14ac:dyDescent="0.25">
      <c r="A21" s="6">
        <v>2</v>
      </c>
      <c r="B21" s="32" t="s">
        <v>122</v>
      </c>
      <c r="C21" s="32" t="s">
        <v>123</v>
      </c>
      <c r="D21" s="32"/>
      <c r="E21" s="32" t="s">
        <v>60</v>
      </c>
      <c r="F21" s="15" t="s">
        <v>124</v>
      </c>
      <c r="G21" s="31" t="s">
        <v>35</v>
      </c>
      <c r="H21" s="9"/>
      <c r="I21" s="1"/>
    </row>
    <row r="22" spans="1:9" ht="13.8" x14ac:dyDescent="0.25">
      <c r="A22" s="6">
        <v>3</v>
      </c>
      <c r="B22" s="32" t="s">
        <v>125</v>
      </c>
      <c r="C22" s="32" t="s">
        <v>126</v>
      </c>
      <c r="D22" s="32"/>
      <c r="E22" s="32" t="s">
        <v>38</v>
      </c>
      <c r="F22" s="15" t="s">
        <v>127</v>
      </c>
      <c r="G22" s="31"/>
      <c r="H22" s="9"/>
      <c r="I22" s="1"/>
    </row>
    <row r="23" spans="1:9" ht="13.8" x14ac:dyDescent="0.25">
      <c r="A23" s="6">
        <v>4</v>
      </c>
      <c r="B23" s="32" t="s">
        <v>128</v>
      </c>
      <c r="C23" s="32" t="s">
        <v>129</v>
      </c>
      <c r="D23" s="32" t="s">
        <v>33</v>
      </c>
      <c r="E23" s="32" t="s">
        <v>30</v>
      </c>
      <c r="F23" s="15" t="s">
        <v>130</v>
      </c>
      <c r="G23" s="31"/>
      <c r="H23" s="9"/>
      <c r="I23" s="1"/>
    </row>
    <row r="24" spans="1:9" ht="13.8" x14ac:dyDescent="0.25">
      <c r="A24" s="6">
        <v>5</v>
      </c>
      <c r="B24" s="32" t="s">
        <v>131</v>
      </c>
      <c r="C24" s="32" t="s">
        <v>132</v>
      </c>
      <c r="D24" s="32"/>
      <c r="E24" s="32" t="s">
        <v>38</v>
      </c>
      <c r="F24" s="15" t="s">
        <v>133</v>
      </c>
      <c r="G24" s="31"/>
      <c r="H24" s="9"/>
      <c r="I24" s="1"/>
    </row>
    <row r="25" spans="1:9" ht="13.8" x14ac:dyDescent="0.25">
      <c r="A25" s="6">
        <v>6</v>
      </c>
      <c r="B25" s="32" t="s">
        <v>134</v>
      </c>
      <c r="C25" s="32" t="s">
        <v>135</v>
      </c>
      <c r="D25" s="32"/>
      <c r="E25" s="32" t="s">
        <v>34</v>
      </c>
      <c r="F25" s="15" t="s">
        <v>136</v>
      </c>
      <c r="G25" s="31"/>
      <c r="H25" s="9"/>
      <c r="I25" s="1"/>
    </row>
    <row r="26" spans="1:9" ht="13.8" x14ac:dyDescent="0.25">
      <c r="A26" s="6">
        <v>7</v>
      </c>
      <c r="B26" s="32" t="s">
        <v>137</v>
      </c>
      <c r="C26" s="32" t="s">
        <v>138</v>
      </c>
      <c r="D26" s="32"/>
      <c r="E26" s="32" t="s">
        <v>45</v>
      </c>
      <c r="F26" s="15" t="s">
        <v>139</v>
      </c>
      <c r="G26" s="31"/>
      <c r="H26" s="9"/>
      <c r="I26" s="1"/>
    </row>
    <row r="27" spans="1:9" ht="13.8" x14ac:dyDescent="0.25">
      <c r="A27" s="6">
        <v>8</v>
      </c>
      <c r="B27" s="32" t="s">
        <v>140</v>
      </c>
      <c r="C27" s="32" t="s">
        <v>141</v>
      </c>
      <c r="D27" s="32"/>
      <c r="E27" s="32" t="s">
        <v>30</v>
      </c>
      <c r="F27" s="15" t="s">
        <v>142</v>
      </c>
      <c r="G27" s="31"/>
      <c r="H27" s="9"/>
      <c r="I27" s="1"/>
    </row>
    <row r="28" spans="1:9" ht="13.8" x14ac:dyDescent="0.25">
      <c r="A28" s="6">
        <v>9</v>
      </c>
      <c r="B28" s="32" t="s">
        <v>143</v>
      </c>
      <c r="C28" s="32" t="s">
        <v>144</v>
      </c>
      <c r="D28" s="32"/>
      <c r="E28" s="32" t="s">
        <v>60</v>
      </c>
      <c r="F28" s="15" t="s">
        <v>145</v>
      </c>
      <c r="G28" s="31" t="s">
        <v>35</v>
      </c>
      <c r="H28" s="9"/>
      <c r="I28" s="1"/>
    </row>
    <row r="29" spans="1:9" ht="13.8" x14ac:dyDescent="0.25">
      <c r="A29" s="6">
        <v>10</v>
      </c>
      <c r="B29" s="32" t="s">
        <v>146</v>
      </c>
      <c r="C29" s="32" t="s">
        <v>147</v>
      </c>
      <c r="D29" s="32"/>
      <c r="E29" s="32" t="s">
        <v>34</v>
      </c>
      <c r="F29" s="15" t="s">
        <v>148</v>
      </c>
      <c r="G29" s="31"/>
      <c r="H29" s="9"/>
      <c r="I29" s="1"/>
    </row>
    <row r="30" spans="1:9" ht="13.8" x14ac:dyDescent="0.25">
      <c r="A30" s="6">
        <v>11</v>
      </c>
      <c r="B30" s="13"/>
      <c r="C30" s="14"/>
      <c r="D30" s="14"/>
      <c r="E30" s="15"/>
      <c r="F30" s="15"/>
      <c r="G30" s="15"/>
      <c r="H30" s="9" t="s">
        <v>149</v>
      </c>
      <c r="I30" s="1"/>
    </row>
    <row r="31" spans="1:9" ht="13.8" x14ac:dyDescent="0.25">
      <c r="A31" s="6">
        <v>12</v>
      </c>
      <c r="B31" s="13"/>
      <c r="C31" s="14"/>
      <c r="D31" s="14"/>
      <c r="E31" s="15"/>
      <c r="F31" s="15"/>
      <c r="G31" s="15"/>
      <c r="H31" s="9" t="s">
        <v>150</v>
      </c>
      <c r="I31" s="1"/>
    </row>
    <row r="32" spans="1:9" ht="13.8" x14ac:dyDescent="0.25">
      <c r="A32" s="6">
        <v>13</v>
      </c>
      <c r="B32" s="13"/>
      <c r="C32" s="14"/>
      <c r="D32" s="14"/>
      <c r="E32" s="15"/>
      <c r="F32" s="15"/>
      <c r="G32" s="15"/>
      <c r="H32" s="9" t="s">
        <v>151</v>
      </c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119" priority="7" stopIfTrue="1">
      <formula>MOD(ROW(),2)=0</formula>
    </cfRule>
    <cfRule type="expression" dxfId="118" priority="8" stopIfTrue="1">
      <formula>MOD(ROW(),2)=1</formula>
    </cfRule>
  </conditionalFormatting>
  <conditionalFormatting sqref="C20">
    <cfRule type="expression" dxfId="117" priority="5" stopIfTrue="1">
      <formula>MOD(ROW(),2)=0</formula>
    </cfRule>
    <cfRule type="expression" dxfId="116" priority="6" stopIfTrue="1">
      <formula>MOD(ROW(),2)=1</formula>
    </cfRule>
  </conditionalFormatting>
  <conditionalFormatting sqref="F20:G40">
    <cfRule type="expression" dxfId="115" priority="1" stopIfTrue="1">
      <formula>MOD(ROW(),2)=0</formula>
    </cfRule>
    <cfRule type="expression" dxfId="11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I44"/>
  <sheetViews>
    <sheetView showGridLines="0" zoomScaleNormal="100" workbookViewId="0">
      <selection activeCell="D44" sqref="D44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154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14064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6624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5286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1338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0.47098976109215018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8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0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1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7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155</v>
      </c>
      <c r="C20" s="32" t="s">
        <v>156</v>
      </c>
      <c r="D20" s="32"/>
      <c r="E20" s="32" t="s">
        <v>34</v>
      </c>
      <c r="F20" s="12" t="s">
        <v>157</v>
      </c>
      <c r="G20" s="30"/>
      <c r="H20" s="9"/>
      <c r="I20" s="1"/>
    </row>
    <row r="21" spans="1:9" ht="13.8" x14ac:dyDescent="0.25">
      <c r="A21" s="6">
        <v>2</v>
      </c>
      <c r="B21" s="32" t="s">
        <v>158</v>
      </c>
      <c r="C21" s="32" t="s">
        <v>159</v>
      </c>
      <c r="D21" s="32"/>
      <c r="E21" s="32" t="s">
        <v>34</v>
      </c>
      <c r="F21" s="15" t="s">
        <v>160</v>
      </c>
      <c r="G21" s="31"/>
      <c r="H21" s="9"/>
      <c r="I21" s="1"/>
    </row>
    <row r="22" spans="1:9" ht="13.8" x14ac:dyDescent="0.25">
      <c r="A22" s="6">
        <v>3</v>
      </c>
      <c r="B22" s="32" t="s">
        <v>161</v>
      </c>
      <c r="C22" s="32" t="s">
        <v>162</v>
      </c>
      <c r="D22" s="32"/>
      <c r="E22" s="32" t="s">
        <v>60</v>
      </c>
      <c r="F22" s="15" t="s">
        <v>163</v>
      </c>
      <c r="G22" s="31"/>
      <c r="H22" s="9"/>
      <c r="I22" s="1"/>
    </row>
    <row r="23" spans="1:9" ht="13.8" x14ac:dyDescent="0.25">
      <c r="A23" s="6">
        <v>4</v>
      </c>
      <c r="B23" s="32" t="s">
        <v>164</v>
      </c>
      <c r="C23" s="32" t="s">
        <v>165</v>
      </c>
      <c r="D23" s="32" t="s">
        <v>33</v>
      </c>
      <c r="E23" s="32" t="s">
        <v>60</v>
      </c>
      <c r="F23" s="15" t="s">
        <v>166</v>
      </c>
      <c r="G23" s="31"/>
      <c r="H23" s="9"/>
      <c r="I23" s="1"/>
    </row>
    <row r="24" spans="1:9" ht="13.8" x14ac:dyDescent="0.25">
      <c r="A24" s="6">
        <v>5</v>
      </c>
      <c r="B24" s="32" t="s">
        <v>167</v>
      </c>
      <c r="C24" s="32" t="s">
        <v>168</v>
      </c>
      <c r="D24" s="32"/>
      <c r="E24" s="32" t="s">
        <v>45</v>
      </c>
      <c r="F24" s="15" t="s">
        <v>169</v>
      </c>
      <c r="G24" s="31"/>
      <c r="H24" s="9"/>
      <c r="I24" s="1"/>
    </row>
    <row r="25" spans="1:9" ht="13.8" x14ac:dyDescent="0.25">
      <c r="A25" s="6">
        <v>6</v>
      </c>
      <c r="B25" s="32" t="s">
        <v>170</v>
      </c>
      <c r="C25" s="32" t="s">
        <v>171</v>
      </c>
      <c r="D25" s="32"/>
      <c r="E25" s="32" t="s">
        <v>30</v>
      </c>
      <c r="F25" s="15" t="s">
        <v>172</v>
      </c>
      <c r="G25" s="31" t="s">
        <v>35</v>
      </c>
      <c r="H25" s="9"/>
      <c r="I25" s="1"/>
    </row>
    <row r="26" spans="1:9" ht="13.8" x14ac:dyDescent="0.25">
      <c r="A26" s="6">
        <v>7</v>
      </c>
      <c r="B26" s="32" t="s">
        <v>173</v>
      </c>
      <c r="C26" s="32" t="s">
        <v>174</v>
      </c>
      <c r="D26" s="32"/>
      <c r="E26" s="32" t="s">
        <v>30</v>
      </c>
      <c r="F26" s="15" t="s">
        <v>175</v>
      </c>
      <c r="G26" s="31" t="s">
        <v>35</v>
      </c>
      <c r="H26" s="9"/>
      <c r="I26" s="1"/>
    </row>
    <row r="27" spans="1:9" ht="13.8" x14ac:dyDescent="0.25">
      <c r="A27" s="6">
        <v>8</v>
      </c>
      <c r="B27" s="32" t="s">
        <v>176</v>
      </c>
      <c r="C27" s="32" t="s">
        <v>177</v>
      </c>
      <c r="D27" s="32" t="s">
        <v>33</v>
      </c>
      <c r="E27" s="32" t="s">
        <v>45</v>
      </c>
      <c r="F27" s="15" t="s">
        <v>178</v>
      </c>
      <c r="G27" s="31"/>
      <c r="H27" s="9"/>
      <c r="I27" s="1"/>
    </row>
    <row r="28" spans="1:9" ht="13.8" x14ac:dyDescent="0.25">
      <c r="A28" s="6">
        <v>9</v>
      </c>
      <c r="B28" s="32" t="s">
        <v>179</v>
      </c>
      <c r="C28" s="32" t="s">
        <v>180</v>
      </c>
      <c r="D28" s="32" t="s">
        <v>33</v>
      </c>
      <c r="E28" s="32" t="s">
        <v>38</v>
      </c>
      <c r="F28" s="15" t="s">
        <v>181</v>
      </c>
      <c r="G28" s="31"/>
      <c r="H28" s="9"/>
      <c r="I28" s="1"/>
    </row>
    <row r="29" spans="1:9" ht="13.8" x14ac:dyDescent="0.25">
      <c r="A29" s="6">
        <v>10</v>
      </c>
      <c r="B29" s="32" t="s">
        <v>182</v>
      </c>
      <c r="C29" s="32" t="s">
        <v>183</v>
      </c>
      <c r="D29" s="32"/>
      <c r="E29" s="32" t="s">
        <v>30</v>
      </c>
      <c r="F29" s="15" t="s">
        <v>184</v>
      </c>
      <c r="G29" s="31" t="s">
        <v>35</v>
      </c>
      <c r="H29" s="9"/>
      <c r="I29" s="1"/>
    </row>
    <row r="30" spans="1:9" ht="13.8" x14ac:dyDescent="0.25">
      <c r="A30" s="6">
        <v>11</v>
      </c>
      <c r="B30" s="32" t="s">
        <v>185</v>
      </c>
      <c r="C30" s="32" t="s">
        <v>186</v>
      </c>
      <c r="D30" s="32" t="s">
        <v>33</v>
      </c>
      <c r="E30" s="32" t="s">
        <v>45</v>
      </c>
      <c r="F30" s="15" t="s">
        <v>187</v>
      </c>
      <c r="G30" s="31"/>
      <c r="H30" s="9"/>
      <c r="I30" s="1"/>
    </row>
    <row r="31" spans="1:9" ht="13.8" x14ac:dyDescent="0.25">
      <c r="A31" s="6">
        <v>12</v>
      </c>
      <c r="B31" s="32" t="s">
        <v>188</v>
      </c>
      <c r="C31" s="32" t="s">
        <v>189</v>
      </c>
      <c r="D31" s="32"/>
      <c r="E31" s="32" t="s">
        <v>38</v>
      </c>
      <c r="F31" s="15" t="s">
        <v>190</v>
      </c>
      <c r="G31" s="31"/>
      <c r="H31" s="9"/>
      <c r="I31" s="1"/>
    </row>
    <row r="32" spans="1:9" ht="13.8" x14ac:dyDescent="0.25">
      <c r="A32" s="6">
        <v>13</v>
      </c>
      <c r="B32" s="32" t="s">
        <v>191</v>
      </c>
      <c r="C32" s="32" t="s">
        <v>192</v>
      </c>
      <c r="D32" s="32"/>
      <c r="E32" s="32" t="s">
        <v>60</v>
      </c>
      <c r="F32" s="15" t="s">
        <v>193</v>
      </c>
      <c r="G32" s="31"/>
      <c r="H32" s="9"/>
      <c r="I32" s="1"/>
    </row>
    <row r="33" spans="1:9" ht="13.8" x14ac:dyDescent="0.25">
      <c r="A33" s="6">
        <v>14</v>
      </c>
      <c r="B33" s="32" t="s">
        <v>194</v>
      </c>
      <c r="C33" s="32" t="s">
        <v>195</v>
      </c>
      <c r="D33" s="32"/>
      <c r="E33" s="32" t="s">
        <v>34</v>
      </c>
      <c r="F33" s="15" t="s">
        <v>196</v>
      </c>
      <c r="G33" s="31"/>
      <c r="H33" s="9"/>
      <c r="I33" s="1"/>
    </row>
    <row r="34" spans="1:9" ht="13.8" x14ac:dyDescent="0.25">
      <c r="A34" s="6">
        <v>15</v>
      </c>
      <c r="B34" s="32" t="s">
        <v>197</v>
      </c>
      <c r="C34" s="32" t="s">
        <v>198</v>
      </c>
      <c r="D34" s="32" t="s">
        <v>33</v>
      </c>
      <c r="E34" s="32" t="s">
        <v>38</v>
      </c>
      <c r="F34" s="15" t="s">
        <v>199</v>
      </c>
      <c r="G34" s="31"/>
      <c r="H34" s="9"/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113" priority="7" stopIfTrue="1">
      <formula>MOD(ROW(),2)=0</formula>
    </cfRule>
    <cfRule type="expression" dxfId="112" priority="8" stopIfTrue="1">
      <formula>MOD(ROW(),2)=1</formula>
    </cfRule>
  </conditionalFormatting>
  <conditionalFormatting sqref="C20">
    <cfRule type="expression" dxfId="111" priority="5" stopIfTrue="1">
      <formula>MOD(ROW(),2)=0</formula>
    </cfRule>
    <cfRule type="expression" dxfId="110" priority="6" stopIfTrue="1">
      <formula>MOD(ROW(),2)=1</formula>
    </cfRule>
  </conditionalFormatting>
  <conditionalFormatting sqref="F20:G40">
    <cfRule type="expression" dxfId="109" priority="1" stopIfTrue="1">
      <formula>MOD(ROW(),2)=0</formula>
    </cfRule>
    <cfRule type="expression" dxfId="10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44"/>
  <sheetViews>
    <sheetView showGridLines="0" zoomScaleNormal="100" workbookViewId="0">
      <selection activeCell="D21" sqref="D21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200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11322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5260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4063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1197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0.46458222928811166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9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5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4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201</v>
      </c>
      <c r="C20" s="32" t="s">
        <v>202</v>
      </c>
      <c r="D20" s="32"/>
      <c r="E20" s="32" t="s">
        <v>38</v>
      </c>
      <c r="F20" s="12" t="s">
        <v>203</v>
      </c>
      <c r="G20" s="30"/>
      <c r="H20" s="9"/>
      <c r="I20" s="1"/>
    </row>
    <row r="21" spans="1:9" ht="13.8" x14ac:dyDescent="0.25">
      <c r="A21" s="6">
        <v>2</v>
      </c>
      <c r="B21" s="32" t="s">
        <v>204</v>
      </c>
      <c r="C21" s="32" t="s">
        <v>205</v>
      </c>
      <c r="D21" s="32" t="s">
        <v>33</v>
      </c>
      <c r="E21" s="32" t="s">
        <v>38</v>
      </c>
      <c r="F21" s="15" t="s">
        <v>206</v>
      </c>
      <c r="G21" s="31"/>
      <c r="H21" s="9"/>
      <c r="I21" s="1"/>
    </row>
    <row r="22" spans="1:9" ht="13.8" x14ac:dyDescent="0.25">
      <c r="A22" s="6">
        <v>3</v>
      </c>
      <c r="B22" s="32" t="s">
        <v>207</v>
      </c>
      <c r="C22" s="32" t="s">
        <v>208</v>
      </c>
      <c r="D22" s="32" t="s">
        <v>33</v>
      </c>
      <c r="E22" s="32" t="s">
        <v>45</v>
      </c>
      <c r="F22" s="15" t="s">
        <v>209</v>
      </c>
      <c r="G22" s="31"/>
      <c r="H22" s="9"/>
      <c r="I22" s="1"/>
    </row>
    <row r="23" spans="1:9" ht="13.8" x14ac:dyDescent="0.25">
      <c r="A23" s="6">
        <v>4</v>
      </c>
      <c r="B23" s="32" t="s">
        <v>210</v>
      </c>
      <c r="C23" s="32" t="s">
        <v>211</v>
      </c>
      <c r="D23" s="32"/>
      <c r="E23" s="32" t="s">
        <v>45</v>
      </c>
      <c r="F23" s="15" t="s">
        <v>212</v>
      </c>
      <c r="G23" s="31"/>
      <c r="H23" s="9"/>
      <c r="I23" s="1"/>
    </row>
    <row r="24" spans="1:9" ht="13.8" x14ac:dyDescent="0.25">
      <c r="A24" s="6">
        <v>5</v>
      </c>
      <c r="B24" s="32" t="s">
        <v>213</v>
      </c>
      <c r="C24" s="32" t="s">
        <v>214</v>
      </c>
      <c r="D24" s="32"/>
      <c r="E24" s="32" t="s">
        <v>30</v>
      </c>
      <c r="F24" s="15" t="s">
        <v>215</v>
      </c>
      <c r="G24" s="31"/>
      <c r="H24" s="9"/>
      <c r="I24" s="1"/>
    </row>
    <row r="25" spans="1:9" ht="13.8" x14ac:dyDescent="0.25">
      <c r="A25" s="6">
        <v>6</v>
      </c>
      <c r="B25" s="32" t="s">
        <v>216</v>
      </c>
      <c r="C25" s="32" t="s">
        <v>217</v>
      </c>
      <c r="D25" s="32"/>
      <c r="E25" s="32" t="s">
        <v>34</v>
      </c>
      <c r="F25" s="15" t="s">
        <v>218</v>
      </c>
      <c r="G25" s="31" t="s">
        <v>35</v>
      </c>
      <c r="H25" s="9"/>
      <c r="I25" s="1"/>
    </row>
    <row r="26" spans="1:9" ht="13.8" x14ac:dyDescent="0.25">
      <c r="A26" s="6">
        <v>7</v>
      </c>
      <c r="B26" s="32" t="s">
        <v>219</v>
      </c>
      <c r="C26" s="32" t="s">
        <v>220</v>
      </c>
      <c r="D26" s="32"/>
      <c r="E26" s="32" t="s">
        <v>60</v>
      </c>
      <c r="F26" s="15" t="s">
        <v>221</v>
      </c>
      <c r="G26" s="31"/>
      <c r="H26" s="9"/>
      <c r="I26" s="1"/>
    </row>
    <row r="27" spans="1:9" ht="13.8" x14ac:dyDescent="0.25">
      <c r="A27" s="6">
        <v>8</v>
      </c>
      <c r="B27" s="32" t="s">
        <v>222</v>
      </c>
      <c r="C27" s="32" t="s">
        <v>223</v>
      </c>
      <c r="D27" s="32"/>
      <c r="E27" s="32" t="s">
        <v>60</v>
      </c>
      <c r="F27" s="15" t="s">
        <v>224</v>
      </c>
      <c r="G27" s="31"/>
      <c r="H27" s="9"/>
      <c r="I27" s="1"/>
    </row>
    <row r="28" spans="1:9" ht="13.8" x14ac:dyDescent="0.25">
      <c r="A28" s="6">
        <v>9</v>
      </c>
      <c r="B28" s="32" t="s">
        <v>225</v>
      </c>
      <c r="C28" s="32" t="s">
        <v>226</v>
      </c>
      <c r="D28" s="32" t="s">
        <v>33</v>
      </c>
      <c r="E28" s="32" t="s">
        <v>227</v>
      </c>
      <c r="F28" s="15" t="s">
        <v>228</v>
      </c>
      <c r="G28" s="31"/>
      <c r="H28" s="9"/>
      <c r="I28" s="1"/>
    </row>
    <row r="29" spans="1:9" ht="13.8" x14ac:dyDescent="0.25">
      <c r="A29" s="6">
        <v>10</v>
      </c>
      <c r="B29" s="32" t="s">
        <v>229</v>
      </c>
      <c r="C29" s="32" t="s">
        <v>230</v>
      </c>
      <c r="D29" s="32"/>
      <c r="E29" s="32" t="s">
        <v>30</v>
      </c>
      <c r="F29" s="15" t="s">
        <v>231</v>
      </c>
      <c r="G29" s="31"/>
      <c r="H29" s="9"/>
      <c r="I29" s="1"/>
    </row>
    <row r="30" spans="1:9" ht="13.8" x14ac:dyDescent="0.25">
      <c r="A30" s="6">
        <v>11</v>
      </c>
      <c r="B30" s="32" t="s">
        <v>232</v>
      </c>
      <c r="C30" s="32" t="s">
        <v>233</v>
      </c>
      <c r="D30" s="32" t="s">
        <v>33</v>
      </c>
      <c r="E30" s="32" t="s">
        <v>227</v>
      </c>
      <c r="F30" s="15" t="s">
        <v>234</v>
      </c>
      <c r="G30" s="31"/>
      <c r="H30" s="9"/>
      <c r="I30" s="1"/>
    </row>
    <row r="31" spans="1:9" ht="13.8" x14ac:dyDescent="0.25">
      <c r="A31" s="6">
        <v>12</v>
      </c>
      <c r="B31" s="32" t="s">
        <v>235</v>
      </c>
      <c r="C31" s="32" t="s">
        <v>236</v>
      </c>
      <c r="D31" s="32" t="s">
        <v>33</v>
      </c>
      <c r="E31" s="32" t="s">
        <v>34</v>
      </c>
      <c r="F31" s="15" t="s">
        <v>237</v>
      </c>
      <c r="G31" s="31" t="s">
        <v>35</v>
      </c>
      <c r="H31" s="9"/>
      <c r="I31" s="1"/>
    </row>
    <row r="32" spans="1:9" ht="13.8" x14ac:dyDescent="0.25">
      <c r="A32" s="6">
        <v>13</v>
      </c>
      <c r="B32" s="32" t="s">
        <v>238</v>
      </c>
      <c r="C32" s="32" t="s">
        <v>239</v>
      </c>
      <c r="D32" s="32"/>
      <c r="E32" s="32" t="s">
        <v>30</v>
      </c>
      <c r="F32" s="15" t="s">
        <v>240</v>
      </c>
      <c r="G32" s="31"/>
      <c r="H32" s="9"/>
      <c r="I32" s="1"/>
    </row>
    <row r="33" spans="1:9" ht="13.8" x14ac:dyDescent="0.25">
      <c r="A33" s="6">
        <v>14</v>
      </c>
      <c r="B33" s="32" t="s">
        <v>241</v>
      </c>
      <c r="C33" s="32" t="s">
        <v>242</v>
      </c>
      <c r="D33" s="32" t="s">
        <v>33</v>
      </c>
      <c r="E33" s="32" t="s">
        <v>60</v>
      </c>
      <c r="F33" s="15" t="s">
        <v>243</v>
      </c>
      <c r="G33" s="31"/>
      <c r="H33" s="9"/>
      <c r="I33" s="1"/>
    </row>
    <row r="34" spans="1:9" ht="13.8" x14ac:dyDescent="0.25">
      <c r="A34" s="6">
        <v>15</v>
      </c>
      <c r="B34" s="32" t="s">
        <v>244</v>
      </c>
      <c r="C34" s="32" t="s">
        <v>245</v>
      </c>
      <c r="D34" s="32"/>
      <c r="E34" s="32" t="s">
        <v>227</v>
      </c>
      <c r="F34" s="15" t="s">
        <v>246</v>
      </c>
      <c r="G34" s="31"/>
      <c r="H34" s="9"/>
      <c r="I34" s="1"/>
    </row>
    <row r="35" spans="1:9" ht="13.8" x14ac:dyDescent="0.25">
      <c r="A35" s="6">
        <v>16</v>
      </c>
      <c r="B35" s="32" t="s">
        <v>247</v>
      </c>
      <c r="C35" s="32" t="s">
        <v>248</v>
      </c>
      <c r="D35" s="32"/>
      <c r="E35" s="32" t="s">
        <v>34</v>
      </c>
      <c r="F35" s="15" t="s">
        <v>249</v>
      </c>
      <c r="G35" s="31" t="s">
        <v>35</v>
      </c>
      <c r="H35" s="9"/>
      <c r="I35" s="1"/>
    </row>
    <row r="36" spans="1:9" ht="13.8" x14ac:dyDescent="0.25">
      <c r="A36" s="6">
        <v>17</v>
      </c>
      <c r="B36" s="32" t="s">
        <v>250</v>
      </c>
      <c r="C36" s="32" t="s">
        <v>251</v>
      </c>
      <c r="D36" s="32"/>
      <c r="E36" s="32" t="s">
        <v>38</v>
      </c>
      <c r="F36" s="15" t="s">
        <v>252</v>
      </c>
      <c r="G36" s="31"/>
      <c r="H36" s="9"/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107" priority="7" stopIfTrue="1">
      <formula>MOD(ROW(),2)=0</formula>
    </cfRule>
    <cfRule type="expression" dxfId="106" priority="8" stopIfTrue="1">
      <formula>MOD(ROW(),2)=1</formula>
    </cfRule>
  </conditionalFormatting>
  <conditionalFormatting sqref="C20">
    <cfRule type="expression" dxfId="105" priority="5" stopIfTrue="1">
      <formula>MOD(ROW(),2)=0</formula>
    </cfRule>
    <cfRule type="expression" dxfId="104" priority="6" stopIfTrue="1">
      <formula>MOD(ROW(),2)=1</formula>
    </cfRule>
  </conditionalFormatting>
  <conditionalFormatting sqref="F20:G40">
    <cfRule type="expression" dxfId="103" priority="1" stopIfTrue="1">
      <formula>MOD(ROW(),2)=0</formula>
    </cfRule>
    <cfRule type="expression" dxfId="10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I44"/>
  <sheetViews>
    <sheetView showGridLines="0" zoomScaleNormal="100" workbookViewId="0">
      <selection activeCell="E44" sqref="E44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253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118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8909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5226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4120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1106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0.58659782242675951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9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3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6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254</v>
      </c>
      <c r="C20" s="32" t="s">
        <v>255</v>
      </c>
      <c r="D20" s="32"/>
      <c r="E20" s="32" t="s">
        <v>30</v>
      </c>
      <c r="F20" s="12" t="s">
        <v>256</v>
      </c>
      <c r="G20" s="30" t="s">
        <v>35</v>
      </c>
      <c r="H20" s="9"/>
      <c r="I20" s="1"/>
    </row>
    <row r="21" spans="1:9" ht="13.8" x14ac:dyDescent="0.25">
      <c r="A21" s="6">
        <v>2</v>
      </c>
      <c r="B21" s="32" t="s">
        <v>257</v>
      </c>
      <c r="C21" s="32" t="s">
        <v>258</v>
      </c>
      <c r="D21" s="32"/>
      <c r="E21" s="32" t="s">
        <v>60</v>
      </c>
      <c r="F21" s="15" t="s">
        <v>259</v>
      </c>
      <c r="G21" s="31"/>
      <c r="H21" s="9"/>
      <c r="I21" s="1"/>
    </row>
    <row r="22" spans="1:9" ht="13.8" x14ac:dyDescent="0.25">
      <c r="A22" s="6">
        <v>3</v>
      </c>
      <c r="B22" s="32" t="s">
        <v>260</v>
      </c>
      <c r="C22" s="32" t="s">
        <v>261</v>
      </c>
      <c r="D22" s="32"/>
      <c r="E22" s="32" t="s">
        <v>60</v>
      </c>
      <c r="F22" s="15" t="s">
        <v>262</v>
      </c>
      <c r="G22" s="31"/>
      <c r="H22" s="9"/>
      <c r="I22" s="1"/>
    </row>
    <row r="23" spans="1:9" ht="13.8" x14ac:dyDescent="0.25">
      <c r="A23" s="6">
        <v>4</v>
      </c>
      <c r="B23" s="32" t="s">
        <v>263</v>
      </c>
      <c r="C23" s="32" t="s">
        <v>264</v>
      </c>
      <c r="D23" s="32"/>
      <c r="E23" s="32" t="s">
        <v>30</v>
      </c>
      <c r="F23" s="15" t="s">
        <v>265</v>
      </c>
      <c r="G23" s="31" t="s">
        <v>35</v>
      </c>
      <c r="H23" s="9"/>
      <c r="I23" s="1"/>
    </row>
    <row r="24" spans="1:9" ht="13.8" x14ac:dyDescent="0.25">
      <c r="A24" s="6">
        <v>5</v>
      </c>
      <c r="B24" s="32" t="s">
        <v>266</v>
      </c>
      <c r="C24" s="32" t="s">
        <v>267</v>
      </c>
      <c r="D24" s="32"/>
      <c r="E24" s="32" t="s">
        <v>45</v>
      </c>
      <c r="F24" s="15" t="s">
        <v>268</v>
      </c>
      <c r="G24" s="31"/>
      <c r="H24" s="9"/>
      <c r="I24" s="1"/>
    </row>
    <row r="25" spans="1:9" ht="13.8" x14ac:dyDescent="0.25">
      <c r="A25" s="6">
        <v>6</v>
      </c>
      <c r="B25" s="32" t="s">
        <v>269</v>
      </c>
      <c r="C25" s="32" t="s">
        <v>270</v>
      </c>
      <c r="D25" s="32"/>
      <c r="E25" s="32" t="s">
        <v>34</v>
      </c>
      <c r="F25" s="15" t="s">
        <v>271</v>
      </c>
      <c r="G25" s="31"/>
      <c r="H25" s="9"/>
      <c r="I25" s="1"/>
    </row>
    <row r="26" spans="1:9" ht="13.8" x14ac:dyDescent="0.25">
      <c r="A26" s="6">
        <v>7</v>
      </c>
      <c r="B26" s="32" t="s">
        <v>272</v>
      </c>
      <c r="C26" s="32" t="s">
        <v>273</v>
      </c>
      <c r="D26" s="32" t="s">
        <v>33</v>
      </c>
      <c r="E26" s="32" t="s">
        <v>38</v>
      </c>
      <c r="F26" s="15" t="s">
        <v>274</v>
      </c>
      <c r="G26" s="31"/>
      <c r="H26" s="9"/>
      <c r="I26" s="1"/>
    </row>
    <row r="27" spans="1:9" ht="13.8" x14ac:dyDescent="0.25">
      <c r="A27" s="6">
        <v>8</v>
      </c>
      <c r="B27" s="32" t="s">
        <v>275</v>
      </c>
      <c r="C27" s="32" t="s">
        <v>276</v>
      </c>
      <c r="D27" s="32"/>
      <c r="E27" s="32" t="s">
        <v>38</v>
      </c>
      <c r="F27" s="15" t="s">
        <v>277</v>
      </c>
      <c r="G27" s="31"/>
      <c r="H27" s="9"/>
      <c r="I27" s="1"/>
    </row>
    <row r="28" spans="1:9" ht="13.8" x14ac:dyDescent="0.25">
      <c r="A28" s="6">
        <v>9</v>
      </c>
      <c r="B28" s="32" t="s">
        <v>278</v>
      </c>
      <c r="C28" s="32" t="s">
        <v>279</v>
      </c>
      <c r="D28" s="32"/>
      <c r="E28" s="32" t="s">
        <v>34</v>
      </c>
      <c r="F28" s="15" t="s">
        <v>280</v>
      </c>
      <c r="G28" s="31"/>
      <c r="H28" s="9"/>
      <c r="I28" s="1"/>
    </row>
    <row r="29" spans="1:9" ht="13.8" x14ac:dyDescent="0.25">
      <c r="A29" s="6">
        <v>10</v>
      </c>
      <c r="B29" s="13"/>
      <c r="C29" s="14"/>
      <c r="D29" s="14"/>
      <c r="E29" s="15"/>
      <c r="F29" s="15"/>
      <c r="G29" s="15"/>
      <c r="H29" s="9" t="s">
        <v>281</v>
      </c>
      <c r="I29" s="1"/>
    </row>
    <row r="30" spans="1:9" ht="13.8" x14ac:dyDescent="0.25">
      <c r="A30" s="6">
        <v>11</v>
      </c>
      <c r="B30" s="13"/>
      <c r="C30" s="14"/>
      <c r="D30" s="14"/>
      <c r="E30" s="15"/>
      <c r="F30" s="15"/>
      <c r="G30" s="15"/>
      <c r="H30" s="9" t="s">
        <v>149</v>
      </c>
      <c r="I30" s="1"/>
    </row>
    <row r="31" spans="1:9" ht="13.8" x14ac:dyDescent="0.25">
      <c r="A31" s="6">
        <v>12</v>
      </c>
      <c r="B31" s="13"/>
      <c r="C31" s="14"/>
      <c r="D31" s="14"/>
      <c r="E31" s="15"/>
      <c r="F31" s="15"/>
      <c r="G31" s="15"/>
      <c r="H31" s="9" t="s">
        <v>150</v>
      </c>
      <c r="I31" s="1"/>
    </row>
    <row r="32" spans="1:9" ht="13.8" x14ac:dyDescent="0.25">
      <c r="A32" s="6">
        <v>13</v>
      </c>
      <c r="B32" s="13"/>
      <c r="C32" s="14"/>
      <c r="D32" s="14"/>
      <c r="E32" s="15"/>
      <c r="F32" s="15"/>
      <c r="G32" s="15"/>
      <c r="H32" s="9" t="s">
        <v>151</v>
      </c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101" priority="7" stopIfTrue="1">
      <formula>MOD(ROW(),2)=0</formula>
    </cfRule>
    <cfRule type="expression" dxfId="100" priority="8" stopIfTrue="1">
      <formula>MOD(ROW(),2)=1</formula>
    </cfRule>
  </conditionalFormatting>
  <conditionalFormatting sqref="C20">
    <cfRule type="expression" dxfId="99" priority="5" stopIfTrue="1">
      <formula>MOD(ROW(),2)=0</formula>
    </cfRule>
    <cfRule type="expression" dxfId="98" priority="6" stopIfTrue="1">
      <formula>MOD(ROW(),2)=1</formula>
    </cfRule>
  </conditionalFormatting>
  <conditionalFormatting sqref="F20:G40">
    <cfRule type="expression" dxfId="97" priority="1" stopIfTrue="1">
      <formula>MOD(ROW(),2)=0</formula>
    </cfRule>
    <cfRule type="expression" dxfId="9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I44"/>
  <sheetViews>
    <sheetView showGridLines="0" zoomScaleNormal="100" workbookViewId="0">
      <selection activeCell="D45" sqref="D45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282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11704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5952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4450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1502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0.50854408749145597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8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2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6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283</v>
      </c>
      <c r="C20" s="32" t="s">
        <v>284</v>
      </c>
      <c r="D20" s="32"/>
      <c r="E20" s="32" t="s">
        <v>38</v>
      </c>
      <c r="F20" s="12" t="s">
        <v>285</v>
      </c>
      <c r="G20" s="30"/>
      <c r="H20" s="9"/>
      <c r="I20" s="1"/>
    </row>
    <row r="21" spans="1:9" ht="13.8" x14ac:dyDescent="0.25">
      <c r="A21" s="6">
        <v>2</v>
      </c>
      <c r="B21" s="32" t="s">
        <v>286</v>
      </c>
      <c r="C21" s="32" t="s">
        <v>287</v>
      </c>
      <c r="D21" s="32" t="s">
        <v>33</v>
      </c>
      <c r="E21" s="32" t="s">
        <v>34</v>
      </c>
      <c r="F21" s="15" t="s">
        <v>288</v>
      </c>
      <c r="G21" s="31"/>
      <c r="H21" s="9"/>
      <c r="I21" s="1"/>
    </row>
    <row r="22" spans="1:9" ht="13.8" x14ac:dyDescent="0.25">
      <c r="A22" s="6">
        <v>3</v>
      </c>
      <c r="B22" s="32" t="s">
        <v>289</v>
      </c>
      <c r="C22" s="32" t="s">
        <v>290</v>
      </c>
      <c r="D22" s="32"/>
      <c r="E22" s="32" t="s">
        <v>30</v>
      </c>
      <c r="F22" s="15" t="s">
        <v>291</v>
      </c>
      <c r="G22" s="31"/>
      <c r="H22" s="9"/>
      <c r="I22" s="1"/>
    </row>
    <row r="23" spans="1:9" ht="13.8" x14ac:dyDescent="0.25">
      <c r="A23" s="6">
        <v>4</v>
      </c>
      <c r="B23" s="32" t="s">
        <v>292</v>
      </c>
      <c r="C23" s="32" t="s">
        <v>293</v>
      </c>
      <c r="D23" s="32"/>
      <c r="E23" s="32" t="s">
        <v>38</v>
      </c>
      <c r="F23" s="15" t="s">
        <v>294</v>
      </c>
      <c r="G23" s="31"/>
      <c r="H23" s="9"/>
      <c r="I23" s="1"/>
    </row>
    <row r="24" spans="1:9" ht="13.8" x14ac:dyDescent="0.25">
      <c r="A24" s="6">
        <v>5</v>
      </c>
      <c r="B24" s="32" t="s">
        <v>295</v>
      </c>
      <c r="C24" s="32" t="s">
        <v>296</v>
      </c>
      <c r="D24" s="32"/>
      <c r="E24" s="32" t="s">
        <v>60</v>
      </c>
      <c r="F24" s="15" t="s">
        <v>297</v>
      </c>
      <c r="G24" s="31"/>
      <c r="H24" s="9"/>
      <c r="I24" s="1"/>
    </row>
    <row r="25" spans="1:9" ht="13.8" x14ac:dyDescent="0.25">
      <c r="A25" s="6">
        <v>6</v>
      </c>
      <c r="B25" s="32" t="s">
        <v>298</v>
      </c>
      <c r="C25" s="32" t="s">
        <v>299</v>
      </c>
      <c r="D25" s="32"/>
      <c r="E25" s="32" t="s">
        <v>300</v>
      </c>
      <c r="F25" s="15" t="s">
        <v>301</v>
      </c>
      <c r="G25" s="31" t="s">
        <v>35</v>
      </c>
      <c r="H25" s="9"/>
      <c r="I25" s="1"/>
    </row>
    <row r="26" spans="1:9" ht="13.8" x14ac:dyDescent="0.25">
      <c r="A26" s="6">
        <v>7</v>
      </c>
      <c r="B26" s="32" t="s">
        <v>143</v>
      </c>
      <c r="C26" s="32" t="s">
        <v>302</v>
      </c>
      <c r="D26" s="32"/>
      <c r="E26" s="32" t="s">
        <v>60</v>
      </c>
      <c r="F26" s="15" t="s">
        <v>303</v>
      </c>
      <c r="G26" s="31"/>
      <c r="H26" s="9"/>
      <c r="I26" s="1"/>
    </row>
    <row r="27" spans="1:9" ht="13.8" x14ac:dyDescent="0.25">
      <c r="A27" s="6">
        <v>8</v>
      </c>
      <c r="B27" s="32" t="s">
        <v>304</v>
      </c>
      <c r="C27" s="32" t="s">
        <v>305</v>
      </c>
      <c r="D27" s="32"/>
      <c r="E27" s="32" t="s">
        <v>34</v>
      </c>
      <c r="F27" s="15" t="s">
        <v>306</v>
      </c>
      <c r="G27" s="31"/>
      <c r="H27" s="9"/>
      <c r="I27" s="1"/>
    </row>
    <row r="28" spans="1:9" ht="13.8" x14ac:dyDescent="0.25">
      <c r="A28" s="6">
        <v>9</v>
      </c>
      <c r="B28" s="32" t="s">
        <v>307</v>
      </c>
      <c r="C28" s="32" t="s">
        <v>308</v>
      </c>
      <c r="D28" s="32" t="s">
        <v>33</v>
      </c>
      <c r="E28" s="32" t="s">
        <v>34</v>
      </c>
      <c r="F28" s="15" t="s">
        <v>309</v>
      </c>
      <c r="G28" s="31"/>
      <c r="H28" s="9"/>
      <c r="I28" s="1"/>
    </row>
    <row r="29" spans="1:9" ht="13.8" x14ac:dyDescent="0.25">
      <c r="A29" s="6">
        <v>10</v>
      </c>
      <c r="B29" s="32" t="s">
        <v>310</v>
      </c>
      <c r="C29" s="32" t="s">
        <v>311</v>
      </c>
      <c r="D29" s="32"/>
      <c r="E29" s="32" t="s">
        <v>38</v>
      </c>
      <c r="F29" s="15" t="s">
        <v>312</v>
      </c>
      <c r="G29" s="31"/>
      <c r="H29" s="9"/>
      <c r="I29" s="1"/>
    </row>
    <row r="30" spans="1:9" ht="13.8" x14ac:dyDescent="0.25">
      <c r="A30" s="6">
        <v>11</v>
      </c>
      <c r="B30" s="32" t="s">
        <v>108</v>
      </c>
      <c r="C30" s="32" t="s">
        <v>313</v>
      </c>
      <c r="D30" s="32"/>
      <c r="E30" s="32" t="s">
        <v>300</v>
      </c>
      <c r="F30" s="15" t="s">
        <v>314</v>
      </c>
      <c r="G30" s="31" t="s">
        <v>35</v>
      </c>
      <c r="H30" s="9"/>
      <c r="I30" s="1"/>
    </row>
    <row r="31" spans="1:9" ht="13.8" x14ac:dyDescent="0.25">
      <c r="A31" s="6">
        <v>12</v>
      </c>
      <c r="B31" s="32" t="s">
        <v>315</v>
      </c>
      <c r="C31" s="32" t="s">
        <v>316</v>
      </c>
      <c r="D31" s="32" t="s">
        <v>33</v>
      </c>
      <c r="E31" s="32" t="s">
        <v>300</v>
      </c>
      <c r="F31" s="15" t="s">
        <v>317</v>
      </c>
      <c r="G31" s="31" t="s">
        <v>35</v>
      </c>
      <c r="H31" s="9"/>
      <c r="I31" s="1"/>
    </row>
    <row r="32" spans="1:9" ht="13.8" x14ac:dyDescent="0.25">
      <c r="A32" s="6">
        <v>13</v>
      </c>
      <c r="B32" s="32" t="s">
        <v>318</v>
      </c>
      <c r="C32" s="32" t="s">
        <v>319</v>
      </c>
      <c r="D32" s="32"/>
      <c r="E32" s="32" t="s">
        <v>30</v>
      </c>
      <c r="F32" s="15" t="s">
        <v>320</v>
      </c>
      <c r="G32" s="31"/>
      <c r="H32" s="9"/>
      <c r="I32" s="1"/>
    </row>
    <row r="33" spans="1:9" ht="13.8" x14ac:dyDescent="0.25">
      <c r="A33" s="6">
        <v>14</v>
      </c>
      <c r="B33" s="32" t="s">
        <v>321</v>
      </c>
      <c r="C33" s="32" t="s">
        <v>322</v>
      </c>
      <c r="D33" s="32"/>
      <c r="E33" s="32" t="s">
        <v>30</v>
      </c>
      <c r="F33" s="15" t="s">
        <v>323</v>
      </c>
      <c r="G33" s="31"/>
      <c r="H33" s="9"/>
      <c r="I33" s="1"/>
    </row>
    <row r="34" spans="1:9" ht="13.8" x14ac:dyDescent="0.25">
      <c r="A34" s="6">
        <v>15</v>
      </c>
      <c r="B34" s="32" t="s">
        <v>324</v>
      </c>
      <c r="C34" s="32" t="s">
        <v>325</v>
      </c>
      <c r="D34" s="32"/>
      <c r="E34" s="32" t="s">
        <v>60</v>
      </c>
      <c r="F34" s="15" t="s">
        <v>326</v>
      </c>
      <c r="G34" s="31"/>
      <c r="H34" s="9"/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95" priority="7" stopIfTrue="1">
      <formula>MOD(ROW(),2)=0</formula>
    </cfRule>
    <cfRule type="expression" dxfId="94" priority="8" stopIfTrue="1">
      <formula>MOD(ROW(),2)=1</formula>
    </cfRule>
  </conditionalFormatting>
  <conditionalFormatting sqref="C20">
    <cfRule type="expression" dxfId="93" priority="5" stopIfTrue="1">
      <formula>MOD(ROW(),2)=0</formula>
    </cfRule>
    <cfRule type="expression" dxfId="92" priority="6" stopIfTrue="1">
      <formula>MOD(ROW(),2)=1</formula>
    </cfRule>
  </conditionalFormatting>
  <conditionalFormatting sqref="F20:G40">
    <cfRule type="expression" dxfId="91" priority="1" stopIfTrue="1">
      <formula>MOD(ROW(),2)=0</formula>
    </cfRule>
    <cfRule type="expression" dxfId="9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Q44"/>
  <sheetViews>
    <sheetView showGridLines="0" zoomScaleNormal="100" workbookViewId="0">
      <selection activeCell="D42" sqref="D42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17" ht="15.75" customHeight="1" x14ac:dyDescent="0.3">
      <c r="A1" s="8" t="s">
        <v>0</v>
      </c>
    </row>
    <row r="2" spans="1:17" x14ac:dyDescent="0.25">
      <c r="A2" s="3" t="s">
        <v>1</v>
      </c>
    </row>
    <row r="3" spans="1:17" ht="15" customHeight="1" x14ac:dyDescent="0.25">
      <c r="A3" s="4" t="s">
        <v>2</v>
      </c>
    </row>
    <row r="4" spans="1:17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17" ht="13.8" x14ac:dyDescent="0.25">
      <c r="A5" s="5" t="s">
        <v>5</v>
      </c>
      <c r="B5" s="21"/>
      <c r="C5" s="21"/>
      <c r="D5" s="21"/>
      <c r="E5" s="21"/>
      <c r="F5" s="21"/>
      <c r="G5" s="17" t="s">
        <v>327</v>
      </c>
      <c r="I5" s="9" t="s">
        <v>7</v>
      </c>
    </row>
    <row r="6" spans="1:17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17" ht="13.8" x14ac:dyDescent="0.25">
      <c r="A7" s="5" t="s">
        <v>10</v>
      </c>
      <c r="B7" s="21"/>
      <c r="C7" s="21"/>
      <c r="D7" s="21"/>
      <c r="E7" s="21"/>
      <c r="F7" s="21"/>
      <c r="G7" s="27">
        <v>12848</v>
      </c>
      <c r="H7" s="23">
        <v>11704</v>
      </c>
      <c r="I7" s="23">
        <v>11704</v>
      </c>
      <c r="J7" s="23">
        <v>11704</v>
      </c>
      <c r="K7" s="23">
        <v>11704</v>
      </c>
      <c r="L7" s="23">
        <v>11704</v>
      </c>
      <c r="M7" s="23">
        <v>11704</v>
      </c>
      <c r="N7" s="23">
        <v>11704</v>
      </c>
      <c r="O7" s="23">
        <v>11704</v>
      </c>
      <c r="P7" s="23">
        <v>11704</v>
      </c>
      <c r="Q7" s="23">
        <v>11704</v>
      </c>
    </row>
    <row r="8" spans="1:17" ht="13.8" x14ac:dyDescent="0.25">
      <c r="A8" s="5" t="s">
        <v>11</v>
      </c>
      <c r="B8" s="21"/>
      <c r="C8" s="21"/>
      <c r="D8" s="21"/>
      <c r="E8" s="21"/>
      <c r="F8" s="21"/>
      <c r="G8" s="27">
        <v>6660</v>
      </c>
      <c r="H8" s="24">
        <v>5952</v>
      </c>
      <c r="I8" s="24">
        <v>5952</v>
      </c>
      <c r="J8" s="24">
        <v>5952</v>
      </c>
      <c r="K8" s="24">
        <v>5952</v>
      </c>
      <c r="L8" s="24">
        <v>5952</v>
      </c>
      <c r="M8" s="24">
        <v>5952</v>
      </c>
      <c r="N8" s="24">
        <v>5952</v>
      </c>
      <c r="O8" s="24">
        <v>5952</v>
      </c>
      <c r="P8" s="24">
        <v>5952</v>
      </c>
      <c r="Q8" s="24">
        <v>5952</v>
      </c>
    </row>
    <row r="9" spans="1:17" ht="13.8" x14ac:dyDescent="0.25">
      <c r="A9" s="5"/>
      <c r="B9" s="21" t="s">
        <v>12</v>
      </c>
      <c r="C9" s="21"/>
      <c r="D9" s="21"/>
      <c r="E9" s="21"/>
      <c r="F9" s="21"/>
      <c r="G9" s="27">
        <f t="shared" ref="G9:Q9" si="0">G8-G10</f>
        <v>5564</v>
      </c>
      <c r="H9" s="24">
        <f t="shared" si="0"/>
        <v>4450</v>
      </c>
      <c r="I9" s="24">
        <f t="shared" si="0"/>
        <v>4450</v>
      </c>
      <c r="J9" s="24">
        <f t="shared" si="0"/>
        <v>4450</v>
      </c>
      <c r="K9" s="24">
        <f t="shared" si="0"/>
        <v>4450</v>
      </c>
      <c r="L9" s="24">
        <f t="shared" si="0"/>
        <v>4450</v>
      </c>
      <c r="M9" s="24">
        <f t="shared" si="0"/>
        <v>4450</v>
      </c>
      <c r="N9" s="24">
        <f t="shared" si="0"/>
        <v>4450</v>
      </c>
      <c r="O9" s="24">
        <f t="shared" si="0"/>
        <v>4450</v>
      </c>
      <c r="P9" s="24">
        <f t="shared" si="0"/>
        <v>4450</v>
      </c>
      <c r="Q9" s="24">
        <f t="shared" si="0"/>
        <v>4450</v>
      </c>
    </row>
    <row r="10" spans="1:17" ht="13.8" x14ac:dyDescent="0.25">
      <c r="A10" s="5"/>
      <c r="B10" s="21" t="s">
        <v>13</v>
      </c>
      <c r="C10" s="21"/>
      <c r="D10" s="21"/>
      <c r="E10" s="21"/>
      <c r="F10" s="21"/>
      <c r="G10" s="28">
        <v>1096</v>
      </c>
      <c r="H10" s="25">
        <v>1502</v>
      </c>
      <c r="I10" s="25">
        <v>1502</v>
      </c>
      <c r="J10" s="25">
        <v>1502</v>
      </c>
      <c r="K10" s="25">
        <v>1502</v>
      </c>
      <c r="L10" s="25">
        <v>1502</v>
      </c>
      <c r="M10" s="25">
        <v>1502</v>
      </c>
      <c r="N10" s="25">
        <v>1502</v>
      </c>
      <c r="O10" s="25">
        <v>1502</v>
      </c>
      <c r="P10" s="25">
        <v>1502</v>
      </c>
      <c r="Q10" s="25">
        <v>1502</v>
      </c>
    </row>
    <row r="11" spans="1:17" ht="13.8" x14ac:dyDescent="0.25">
      <c r="A11" s="5"/>
      <c r="B11" s="21" t="s">
        <v>14</v>
      </c>
      <c r="C11" s="21"/>
      <c r="D11" s="21"/>
      <c r="E11" s="21"/>
      <c r="F11" s="21"/>
      <c r="G11" s="29">
        <f t="shared" ref="G11:Q11" si="1">G8/G7</f>
        <v>0.51836861768368614</v>
      </c>
      <c r="H11" s="26">
        <f t="shared" si="1"/>
        <v>0.50854408749145597</v>
      </c>
      <c r="I11" s="26">
        <f t="shared" si="1"/>
        <v>0.50854408749145597</v>
      </c>
      <c r="J11" s="26">
        <f t="shared" si="1"/>
        <v>0.50854408749145597</v>
      </c>
      <c r="K11" s="26">
        <f t="shared" si="1"/>
        <v>0.50854408749145597</v>
      </c>
      <c r="L11" s="26">
        <f t="shared" si="1"/>
        <v>0.50854408749145597</v>
      </c>
      <c r="M11" s="26">
        <f t="shared" si="1"/>
        <v>0.50854408749145597</v>
      </c>
      <c r="N11" s="26">
        <f t="shared" si="1"/>
        <v>0.50854408749145597</v>
      </c>
      <c r="O11" s="26">
        <f t="shared" si="1"/>
        <v>0.50854408749145597</v>
      </c>
      <c r="P11" s="26">
        <f t="shared" si="1"/>
        <v>0.50854408749145597</v>
      </c>
      <c r="Q11" s="26">
        <f t="shared" si="1"/>
        <v>0.50854408749145597</v>
      </c>
    </row>
    <row r="12" spans="1:17" ht="13.8" x14ac:dyDescent="0.25">
      <c r="A12" s="5" t="s">
        <v>15</v>
      </c>
      <c r="B12" s="21"/>
      <c r="C12" s="21"/>
      <c r="D12" s="21"/>
      <c r="E12" s="21"/>
      <c r="F12" s="21"/>
      <c r="G12" s="28">
        <f t="shared" ref="G12:Q12" si="2">SUM(G13:G17)</f>
        <v>9</v>
      </c>
      <c r="H12" s="25">
        <f t="shared" si="2"/>
        <v>8</v>
      </c>
      <c r="I12" s="25">
        <f t="shared" si="2"/>
        <v>8</v>
      </c>
      <c r="J12" s="25">
        <f t="shared" si="2"/>
        <v>8</v>
      </c>
      <c r="K12" s="25">
        <f t="shared" si="2"/>
        <v>8</v>
      </c>
      <c r="L12" s="25">
        <f t="shared" si="2"/>
        <v>8</v>
      </c>
      <c r="M12" s="25">
        <f t="shared" si="2"/>
        <v>8</v>
      </c>
      <c r="N12" s="25">
        <f t="shared" si="2"/>
        <v>8</v>
      </c>
      <c r="O12" s="25">
        <f t="shared" si="2"/>
        <v>8</v>
      </c>
      <c r="P12" s="25">
        <f t="shared" si="2"/>
        <v>8</v>
      </c>
      <c r="Q12" s="25">
        <f t="shared" si="2"/>
        <v>8</v>
      </c>
    </row>
    <row r="13" spans="1:17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  <c r="H13" s="24">
        <v>0</v>
      </c>
      <c r="I13" s="24">
        <v>0</v>
      </c>
      <c r="J13" s="24">
        <v>0</v>
      </c>
      <c r="K13" s="24">
        <v>0</v>
      </c>
      <c r="L13" s="24">
        <v>0</v>
      </c>
      <c r="M13" s="24">
        <v>0</v>
      </c>
      <c r="N13" s="24">
        <v>0</v>
      </c>
      <c r="O13" s="24">
        <v>0</v>
      </c>
      <c r="P13" s="24">
        <v>0</v>
      </c>
      <c r="Q13" s="24">
        <v>0</v>
      </c>
    </row>
    <row r="14" spans="1:17" ht="13.8" x14ac:dyDescent="0.25">
      <c r="A14" s="5"/>
      <c r="B14" s="21" t="s">
        <v>17</v>
      </c>
      <c r="C14" s="21"/>
      <c r="D14" s="21"/>
      <c r="E14" s="21"/>
      <c r="F14" s="21"/>
      <c r="G14" s="27">
        <v>3</v>
      </c>
      <c r="H14" s="24">
        <v>2</v>
      </c>
      <c r="I14" s="24">
        <v>2</v>
      </c>
      <c r="J14" s="24">
        <v>2</v>
      </c>
      <c r="K14" s="24">
        <v>2</v>
      </c>
      <c r="L14" s="24">
        <v>2</v>
      </c>
      <c r="M14" s="24">
        <v>2</v>
      </c>
      <c r="N14" s="24">
        <v>2</v>
      </c>
      <c r="O14" s="24">
        <v>2</v>
      </c>
      <c r="P14" s="24">
        <v>2</v>
      </c>
      <c r="Q14" s="24">
        <v>2</v>
      </c>
    </row>
    <row r="15" spans="1:17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  <c r="H15" s="24">
        <v>0</v>
      </c>
      <c r="I15" s="24">
        <v>0</v>
      </c>
      <c r="J15" s="24">
        <v>0</v>
      </c>
      <c r="K15" s="24">
        <v>0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</row>
    <row r="16" spans="1:17" ht="13.8" x14ac:dyDescent="0.25">
      <c r="A16" s="5"/>
      <c r="B16" s="21" t="s">
        <v>19</v>
      </c>
      <c r="C16" s="21"/>
      <c r="D16" s="21"/>
      <c r="E16" s="21"/>
      <c r="F16" s="21"/>
      <c r="G16" s="27">
        <v>6</v>
      </c>
      <c r="H16" s="24">
        <v>6</v>
      </c>
      <c r="I16" s="24">
        <v>6</v>
      </c>
      <c r="J16" s="24">
        <v>6</v>
      </c>
      <c r="K16" s="24">
        <v>6</v>
      </c>
      <c r="L16" s="24">
        <v>6</v>
      </c>
      <c r="M16" s="24">
        <v>6</v>
      </c>
      <c r="N16" s="24">
        <v>6</v>
      </c>
      <c r="O16" s="24">
        <v>6</v>
      </c>
      <c r="P16" s="24">
        <v>6</v>
      </c>
      <c r="Q16" s="24">
        <v>6</v>
      </c>
    </row>
    <row r="17" spans="1:17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  <c r="H17" s="24">
        <v>0</v>
      </c>
      <c r="I17" s="24">
        <v>0</v>
      </c>
      <c r="J17" s="24">
        <v>0</v>
      </c>
      <c r="K17" s="24">
        <v>0</v>
      </c>
      <c r="L17" s="24">
        <v>0</v>
      </c>
      <c r="M17" s="24">
        <v>0</v>
      </c>
      <c r="N17" s="24">
        <v>0</v>
      </c>
      <c r="O17" s="24">
        <v>0</v>
      </c>
      <c r="P17" s="24">
        <v>0</v>
      </c>
      <c r="Q17" s="24">
        <v>0</v>
      </c>
    </row>
    <row r="18" spans="1:17" ht="15" customHeight="1" x14ac:dyDescent="0.25">
      <c r="B18" s="11" t="s">
        <v>21</v>
      </c>
    </row>
    <row r="19" spans="1:17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17" ht="13.8" x14ac:dyDescent="0.25">
      <c r="A20" s="6">
        <v>1</v>
      </c>
      <c r="B20" s="32" t="s">
        <v>328</v>
      </c>
      <c r="C20" s="32" t="s">
        <v>329</v>
      </c>
      <c r="D20" s="32"/>
      <c r="E20" s="32" t="s">
        <v>38</v>
      </c>
      <c r="F20" s="12" t="s">
        <v>330</v>
      </c>
      <c r="G20" s="30" t="s">
        <v>35</v>
      </c>
      <c r="H20" s="9"/>
      <c r="I20" s="1"/>
    </row>
    <row r="21" spans="1:17" ht="13.8" x14ac:dyDescent="0.25">
      <c r="A21" s="6">
        <v>2</v>
      </c>
      <c r="B21" s="32" t="s">
        <v>158</v>
      </c>
      <c r="C21" s="32" t="s">
        <v>331</v>
      </c>
      <c r="D21" s="32"/>
      <c r="E21" s="32" t="s">
        <v>45</v>
      </c>
      <c r="F21" s="15" t="s">
        <v>332</v>
      </c>
      <c r="G21" s="31"/>
      <c r="H21" s="9"/>
      <c r="I21" s="1"/>
    </row>
    <row r="22" spans="1:17" ht="13.8" x14ac:dyDescent="0.25">
      <c r="A22" s="6">
        <v>3</v>
      </c>
      <c r="B22" s="32" t="s">
        <v>333</v>
      </c>
      <c r="C22" s="32" t="s">
        <v>334</v>
      </c>
      <c r="D22" s="32" t="s">
        <v>33</v>
      </c>
      <c r="E22" s="32" t="s">
        <v>38</v>
      </c>
      <c r="F22" s="15" t="s">
        <v>335</v>
      </c>
      <c r="G22" s="31" t="s">
        <v>35</v>
      </c>
      <c r="H22" s="9"/>
      <c r="I22" s="1"/>
    </row>
    <row r="23" spans="1:17" ht="13.8" x14ac:dyDescent="0.25">
      <c r="A23" s="6">
        <v>4</v>
      </c>
      <c r="B23" s="32" t="s">
        <v>336</v>
      </c>
      <c r="C23" s="32" t="s">
        <v>337</v>
      </c>
      <c r="D23" s="32"/>
      <c r="E23" s="32" t="s">
        <v>34</v>
      </c>
      <c r="F23" s="15" t="s">
        <v>338</v>
      </c>
      <c r="G23" s="31"/>
      <c r="H23" s="9"/>
      <c r="I23" s="1"/>
    </row>
    <row r="24" spans="1:17" ht="13.8" x14ac:dyDescent="0.25">
      <c r="A24" s="6">
        <v>5</v>
      </c>
      <c r="B24" s="32" t="s">
        <v>339</v>
      </c>
      <c r="C24" s="32" t="s">
        <v>340</v>
      </c>
      <c r="D24" s="32"/>
      <c r="E24" s="32" t="s">
        <v>45</v>
      </c>
      <c r="F24" s="15" t="s">
        <v>341</v>
      </c>
      <c r="G24" s="31"/>
      <c r="H24" s="9"/>
      <c r="I24" s="1"/>
    </row>
    <row r="25" spans="1:17" ht="13.8" x14ac:dyDescent="0.25">
      <c r="A25" s="6">
        <v>6</v>
      </c>
      <c r="B25" s="32" t="s">
        <v>342</v>
      </c>
      <c r="C25" s="32" t="s">
        <v>343</v>
      </c>
      <c r="D25" s="32"/>
      <c r="E25" s="32" t="s">
        <v>38</v>
      </c>
      <c r="F25" s="15" t="s">
        <v>344</v>
      </c>
      <c r="G25" s="31" t="s">
        <v>35</v>
      </c>
      <c r="H25" s="9"/>
      <c r="I25" s="1"/>
    </row>
    <row r="26" spans="1:17" ht="13.8" x14ac:dyDescent="0.25">
      <c r="A26" s="6">
        <v>7</v>
      </c>
      <c r="B26" s="32" t="s">
        <v>345</v>
      </c>
      <c r="C26" s="32" t="s">
        <v>346</v>
      </c>
      <c r="D26" s="32"/>
      <c r="E26" s="32" t="s">
        <v>60</v>
      </c>
      <c r="F26" s="15" t="s">
        <v>347</v>
      </c>
      <c r="G26" s="31"/>
      <c r="H26" s="9"/>
      <c r="I26" s="1"/>
    </row>
    <row r="27" spans="1:17" ht="13.8" x14ac:dyDescent="0.25">
      <c r="A27" s="6">
        <v>8</v>
      </c>
      <c r="B27" s="32" t="s">
        <v>348</v>
      </c>
      <c r="C27" s="32" t="s">
        <v>349</v>
      </c>
      <c r="D27" s="32"/>
      <c r="E27" s="32" t="s">
        <v>60</v>
      </c>
      <c r="F27" s="15" t="s">
        <v>350</v>
      </c>
      <c r="G27" s="31"/>
      <c r="H27" s="9"/>
      <c r="I27" s="1"/>
    </row>
    <row r="28" spans="1:17" ht="13.8" x14ac:dyDescent="0.25">
      <c r="A28" s="6">
        <v>9</v>
      </c>
      <c r="B28" s="32" t="s">
        <v>351</v>
      </c>
      <c r="C28" s="32" t="s">
        <v>352</v>
      </c>
      <c r="D28" s="32"/>
      <c r="E28" s="32" t="s">
        <v>30</v>
      </c>
      <c r="F28" s="15" t="s">
        <v>353</v>
      </c>
      <c r="G28" s="31"/>
      <c r="H28" s="9"/>
      <c r="I28" s="1"/>
    </row>
    <row r="29" spans="1:17" ht="13.8" x14ac:dyDescent="0.25">
      <c r="A29" s="6">
        <v>10</v>
      </c>
      <c r="B29" s="32" t="s">
        <v>354</v>
      </c>
      <c r="C29" s="32" t="s">
        <v>355</v>
      </c>
      <c r="D29" s="32" t="s">
        <v>33</v>
      </c>
      <c r="E29" s="32" t="s">
        <v>30</v>
      </c>
      <c r="F29" s="15" t="s">
        <v>356</v>
      </c>
      <c r="G29" s="31"/>
      <c r="H29" s="9"/>
      <c r="I29" s="1"/>
    </row>
    <row r="30" spans="1:17" ht="13.8" x14ac:dyDescent="0.25">
      <c r="A30" s="6">
        <v>11</v>
      </c>
      <c r="B30" s="32" t="s">
        <v>357</v>
      </c>
      <c r="C30" s="32" t="s">
        <v>358</v>
      </c>
      <c r="D30" s="32"/>
      <c r="E30" s="32" t="s">
        <v>34</v>
      </c>
      <c r="F30" s="15" t="s">
        <v>359</v>
      </c>
      <c r="G30" s="31"/>
      <c r="H30" s="9"/>
      <c r="I30" s="1"/>
    </row>
    <row r="31" spans="1:17" ht="13.8" x14ac:dyDescent="0.25">
      <c r="A31" s="6">
        <v>12</v>
      </c>
      <c r="B31" s="32" t="s">
        <v>360</v>
      </c>
      <c r="C31" s="32" t="s">
        <v>361</v>
      </c>
      <c r="D31" s="32"/>
      <c r="E31" s="32" t="s">
        <v>60</v>
      </c>
      <c r="F31" s="15" t="s">
        <v>362</v>
      </c>
      <c r="G31" s="31"/>
      <c r="H31" s="9"/>
      <c r="I31" s="1"/>
    </row>
    <row r="32" spans="1:17" ht="13.8" x14ac:dyDescent="0.25">
      <c r="A32" s="6">
        <v>13</v>
      </c>
      <c r="B32" s="32" t="s">
        <v>363</v>
      </c>
      <c r="C32" s="32" t="s">
        <v>364</v>
      </c>
      <c r="D32" s="32" t="s">
        <v>33</v>
      </c>
      <c r="E32" s="32" t="s">
        <v>45</v>
      </c>
      <c r="F32" s="15" t="s">
        <v>365</v>
      </c>
      <c r="G32" s="31"/>
      <c r="H32" s="9"/>
      <c r="I32" s="1"/>
    </row>
    <row r="33" spans="1:9" ht="13.8" x14ac:dyDescent="0.25">
      <c r="A33" s="6">
        <v>14</v>
      </c>
      <c r="B33" s="32" t="s">
        <v>366</v>
      </c>
      <c r="C33" s="32" t="s">
        <v>367</v>
      </c>
      <c r="D33" s="32" t="s">
        <v>33</v>
      </c>
      <c r="E33" s="32" t="s">
        <v>34</v>
      </c>
      <c r="F33" s="15" t="s">
        <v>368</v>
      </c>
      <c r="G33" s="31"/>
      <c r="H33" s="9"/>
      <c r="I33" s="1"/>
    </row>
    <row r="34" spans="1:9" ht="13.8" x14ac:dyDescent="0.25">
      <c r="A34" s="6">
        <v>15</v>
      </c>
      <c r="B34" s="32" t="s">
        <v>369</v>
      </c>
      <c r="C34" s="32" t="s">
        <v>370</v>
      </c>
      <c r="D34" s="32"/>
      <c r="E34" s="32" t="s">
        <v>30</v>
      </c>
      <c r="F34" s="15" t="s">
        <v>371</v>
      </c>
      <c r="G34" s="31"/>
      <c r="H34" s="9"/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89" priority="7" stopIfTrue="1">
      <formula>MOD(ROW(),2)=0</formula>
    </cfRule>
    <cfRule type="expression" dxfId="88" priority="8" stopIfTrue="1">
      <formula>MOD(ROW(),2)=1</formula>
    </cfRule>
  </conditionalFormatting>
  <conditionalFormatting sqref="C20">
    <cfRule type="expression" dxfId="87" priority="5" stopIfTrue="1">
      <formula>MOD(ROW(),2)=0</formula>
    </cfRule>
    <cfRule type="expression" dxfId="86" priority="6" stopIfTrue="1">
      <formula>MOD(ROW(),2)=1</formula>
    </cfRule>
  </conditionalFormatting>
  <conditionalFormatting sqref="F20:G40">
    <cfRule type="expression" dxfId="85" priority="1" stopIfTrue="1">
      <formula>MOD(ROW(),2)=0</formula>
    </cfRule>
    <cfRule type="expression" dxfId="8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I44"/>
  <sheetViews>
    <sheetView showGridLines="0" zoomScaleNormal="100" workbookViewId="0">
      <selection activeCell="D37" sqref="D37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372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118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8727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3637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3152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485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0.41675260685229748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6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5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1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0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373</v>
      </c>
      <c r="C20" s="32" t="s">
        <v>374</v>
      </c>
      <c r="D20" s="32" t="s">
        <v>33</v>
      </c>
      <c r="E20" s="32" t="s">
        <v>45</v>
      </c>
      <c r="F20" s="12" t="s">
        <v>375</v>
      </c>
      <c r="G20" s="30"/>
      <c r="H20" s="9"/>
      <c r="I20" s="1"/>
    </row>
    <row r="21" spans="1:9" ht="13.8" x14ac:dyDescent="0.25">
      <c r="A21" s="6">
        <v>2</v>
      </c>
      <c r="B21" s="32" t="s">
        <v>376</v>
      </c>
      <c r="C21" s="32" t="s">
        <v>377</v>
      </c>
      <c r="D21" s="32"/>
      <c r="E21" s="32" t="s">
        <v>34</v>
      </c>
      <c r="F21" s="15" t="s">
        <v>378</v>
      </c>
      <c r="G21" s="31"/>
      <c r="H21" s="9"/>
      <c r="I21" s="1"/>
    </row>
    <row r="22" spans="1:9" ht="13.8" x14ac:dyDescent="0.25">
      <c r="A22" s="6">
        <v>3</v>
      </c>
      <c r="B22" s="32" t="s">
        <v>379</v>
      </c>
      <c r="C22" s="32" t="s">
        <v>380</v>
      </c>
      <c r="D22" s="32" t="s">
        <v>33</v>
      </c>
      <c r="E22" s="32" t="s">
        <v>38</v>
      </c>
      <c r="F22" s="15" t="s">
        <v>381</v>
      </c>
      <c r="G22" s="31" t="s">
        <v>35</v>
      </c>
      <c r="H22" s="9"/>
      <c r="I22" s="1"/>
    </row>
    <row r="23" spans="1:9" ht="13.8" x14ac:dyDescent="0.25">
      <c r="A23" s="6">
        <v>4</v>
      </c>
      <c r="B23" s="32" t="s">
        <v>382</v>
      </c>
      <c r="C23" s="32" t="s">
        <v>383</v>
      </c>
      <c r="D23" s="32" t="s">
        <v>33</v>
      </c>
      <c r="E23" s="32" t="s">
        <v>60</v>
      </c>
      <c r="F23" s="15" t="s">
        <v>384</v>
      </c>
      <c r="G23" s="31"/>
      <c r="H23" s="9"/>
      <c r="I23" s="1"/>
    </row>
    <row r="24" spans="1:9" ht="13.8" x14ac:dyDescent="0.25">
      <c r="A24" s="6">
        <v>5</v>
      </c>
      <c r="B24" s="32" t="s">
        <v>385</v>
      </c>
      <c r="C24" s="32" t="s">
        <v>386</v>
      </c>
      <c r="D24" s="32" t="s">
        <v>33</v>
      </c>
      <c r="E24" s="32" t="s">
        <v>45</v>
      </c>
      <c r="F24" s="15" t="s">
        <v>387</v>
      </c>
      <c r="G24" s="31"/>
      <c r="H24" s="9"/>
      <c r="I24" s="1"/>
    </row>
    <row r="25" spans="1:9" ht="13.8" x14ac:dyDescent="0.25">
      <c r="A25" s="6">
        <v>6</v>
      </c>
      <c r="B25" s="32" t="s">
        <v>388</v>
      </c>
      <c r="C25" s="32" t="s">
        <v>389</v>
      </c>
      <c r="D25" s="32"/>
      <c r="E25" s="32" t="s">
        <v>60</v>
      </c>
      <c r="F25" s="15" t="s">
        <v>390</v>
      </c>
      <c r="G25" s="31"/>
      <c r="H25" s="9"/>
      <c r="I25" s="1"/>
    </row>
    <row r="26" spans="1:9" ht="13.8" x14ac:dyDescent="0.25">
      <c r="A26" s="6">
        <v>7</v>
      </c>
      <c r="B26" s="32" t="s">
        <v>391</v>
      </c>
      <c r="C26" s="32" t="s">
        <v>392</v>
      </c>
      <c r="D26" s="32"/>
      <c r="E26" s="32" t="s">
        <v>34</v>
      </c>
      <c r="F26" s="15" t="s">
        <v>393</v>
      </c>
      <c r="G26" s="31"/>
      <c r="H26" s="9"/>
      <c r="I26" s="1"/>
    </row>
    <row r="27" spans="1:9" ht="13.8" x14ac:dyDescent="0.25">
      <c r="A27" s="6">
        <v>8</v>
      </c>
      <c r="B27" s="32" t="s">
        <v>394</v>
      </c>
      <c r="C27" s="32" t="s">
        <v>395</v>
      </c>
      <c r="D27" s="32"/>
      <c r="E27" s="32" t="s">
        <v>30</v>
      </c>
      <c r="F27" s="15" t="s">
        <v>396</v>
      </c>
      <c r="G27" s="31"/>
      <c r="H27" s="9"/>
      <c r="I27" s="1"/>
    </row>
    <row r="28" spans="1:9" ht="13.8" x14ac:dyDescent="0.25">
      <c r="A28" s="6">
        <v>9</v>
      </c>
      <c r="B28" s="32" t="s">
        <v>397</v>
      </c>
      <c r="C28" s="32" t="s">
        <v>398</v>
      </c>
      <c r="D28" s="32" t="s">
        <v>33</v>
      </c>
      <c r="E28" s="32" t="s">
        <v>30</v>
      </c>
      <c r="F28" s="15" t="s">
        <v>399</v>
      </c>
      <c r="G28" s="31"/>
      <c r="H28" s="9"/>
      <c r="I28" s="1"/>
    </row>
    <row r="29" spans="1:9" ht="13.8" x14ac:dyDescent="0.25">
      <c r="A29" s="6">
        <v>10</v>
      </c>
      <c r="B29" s="32" t="s">
        <v>400</v>
      </c>
      <c r="C29" s="32" t="s">
        <v>401</v>
      </c>
      <c r="D29" s="32"/>
      <c r="E29" s="32" t="s">
        <v>38</v>
      </c>
      <c r="F29" s="15" t="s">
        <v>402</v>
      </c>
      <c r="G29" s="31" t="s">
        <v>35</v>
      </c>
      <c r="H29" s="9"/>
      <c r="I29" s="1"/>
    </row>
    <row r="30" spans="1:9" ht="13.8" x14ac:dyDescent="0.25">
      <c r="A30" s="6">
        <v>11</v>
      </c>
      <c r="B30" s="13"/>
      <c r="C30" s="14"/>
      <c r="D30" s="14"/>
      <c r="E30" s="15"/>
      <c r="F30" s="15"/>
      <c r="G30" s="15"/>
      <c r="H30" s="9" t="s">
        <v>149</v>
      </c>
      <c r="I30" s="1"/>
    </row>
    <row r="31" spans="1:9" ht="13.8" x14ac:dyDescent="0.25">
      <c r="A31" s="6">
        <v>12</v>
      </c>
      <c r="B31" s="13"/>
      <c r="C31" s="14"/>
      <c r="D31" s="14"/>
      <c r="E31" s="15"/>
      <c r="F31" s="15"/>
      <c r="G31" s="15"/>
      <c r="H31" s="9" t="s">
        <v>150</v>
      </c>
      <c r="I31" s="1"/>
    </row>
    <row r="32" spans="1:9" ht="13.8" x14ac:dyDescent="0.25">
      <c r="A32" s="6">
        <v>13</v>
      </c>
      <c r="B32" s="13"/>
      <c r="C32" s="14"/>
      <c r="D32" s="14"/>
      <c r="E32" s="15"/>
      <c r="F32" s="15"/>
      <c r="G32" s="15"/>
      <c r="H32" s="9" t="s">
        <v>151</v>
      </c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83" priority="7" stopIfTrue="1">
      <formula>MOD(ROW(),2)=0</formula>
    </cfRule>
    <cfRule type="expression" dxfId="82" priority="8" stopIfTrue="1">
      <formula>MOD(ROW(),2)=1</formula>
    </cfRule>
  </conditionalFormatting>
  <conditionalFormatting sqref="C20">
    <cfRule type="expression" dxfId="81" priority="5" stopIfTrue="1">
      <formula>MOD(ROW(),2)=0</formula>
    </cfRule>
    <cfRule type="expression" dxfId="80" priority="6" stopIfTrue="1">
      <formula>MOD(ROW(),2)=1</formula>
    </cfRule>
  </conditionalFormatting>
  <conditionalFormatting sqref="F20:G40">
    <cfRule type="expression" dxfId="79" priority="1" stopIfTrue="1">
      <formula>MOD(ROW(),2)=0</formula>
    </cfRule>
    <cfRule type="expression" dxfId="7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"/>
  <dimension ref="A1:I44"/>
  <sheetViews>
    <sheetView showGridLines="0" zoomScaleNormal="100" workbookViewId="0">
      <selection activeCell="G20" sqref="G20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403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404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4333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2401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1967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434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0.55411954765751215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3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2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1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405</v>
      </c>
      <c r="C20" s="32" t="s">
        <v>406</v>
      </c>
      <c r="D20" s="32"/>
      <c r="E20" s="32" t="s">
        <v>30</v>
      </c>
      <c r="F20" s="12" t="s">
        <v>407</v>
      </c>
      <c r="G20" s="30" t="s">
        <v>35</v>
      </c>
      <c r="H20" s="9"/>
      <c r="I20" s="1"/>
    </row>
    <row r="21" spans="1:9" ht="13.8" x14ac:dyDescent="0.25">
      <c r="A21" s="6">
        <v>2</v>
      </c>
      <c r="B21" s="32" t="s">
        <v>161</v>
      </c>
      <c r="C21" s="32" t="s">
        <v>408</v>
      </c>
      <c r="D21" s="32"/>
      <c r="E21" s="32" t="s">
        <v>60</v>
      </c>
      <c r="F21" s="15" t="s">
        <v>409</v>
      </c>
      <c r="G21" s="31"/>
      <c r="H21" s="9"/>
      <c r="I21" s="1"/>
    </row>
    <row r="22" spans="1:9" ht="13.8" x14ac:dyDescent="0.25">
      <c r="A22" s="6">
        <v>3</v>
      </c>
      <c r="B22" s="32" t="s">
        <v>410</v>
      </c>
      <c r="C22" s="32" t="s">
        <v>411</v>
      </c>
      <c r="D22" s="32" t="s">
        <v>412</v>
      </c>
      <c r="E22" s="32" t="s">
        <v>45</v>
      </c>
      <c r="F22" s="15" t="s">
        <v>413</v>
      </c>
      <c r="G22" s="31"/>
      <c r="H22" s="9"/>
      <c r="I22" s="1"/>
    </row>
    <row r="23" spans="1:9" ht="13.8" x14ac:dyDescent="0.25">
      <c r="A23" s="6">
        <v>4</v>
      </c>
      <c r="B23" s="32" t="s">
        <v>414</v>
      </c>
      <c r="C23" s="32" t="s">
        <v>88</v>
      </c>
      <c r="D23" s="32"/>
      <c r="E23" s="32" t="s">
        <v>34</v>
      </c>
      <c r="F23" s="15" t="s">
        <v>415</v>
      </c>
      <c r="G23" s="31"/>
      <c r="H23" s="9"/>
      <c r="I23" s="1"/>
    </row>
    <row r="24" spans="1:9" ht="13.8" x14ac:dyDescent="0.25">
      <c r="A24" s="6">
        <v>5</v>
      </c>
      <c r="B24" s="32" t="s">
        <v>416</v>
      </c>
      <c r="C24" s="32" t="s">
        <v>417</v>
      </c>
      <c r="D24" s="32"/>
      <c r="E24" s="32" t="s">
        <v>38</v>
      </c>
      <c r="F24" s="15" t="s">
        <v>418</v>
      </c>
      <c r="G24" s="31"/>
      <c r="H24" s="9"/>
      <c r="I24" s="1"/>
    </row>
    <row r="25" spans="1:9" ht="13.8" x14ac:dyDescent="0.25">
      <c r="A25" s="6">
        <v>6</v>
      </c>
      <c r="B25" s="13"/>
      <c r="C25" s="14"/>
      <c r="D25" s="14"/>
      <c r="E25" s="15"/>
      <c r="F25" s="15"/>
      <c r="G25" s="15"/>
      <c r="H25" s="9" t="s">
        <v>419</v>
      </c>
      <c r="I25" s="1"/>
    </row>
    <row r="26" spans="1:9" ht="13.8" x14ac:dyDescent="0.25">
      <c r="A26" s="6">
        <v>7</v>
      </c>
      <c r="B26" s="13"/>
      <c r="C26" s="14"/>
      <c r="D26" s="14"/>
      <c r="E26" s="15"/>
      <c r="F26" s="15"/>
      <c r="G26" s="15"/>
      <c r="H26" s="9" t="s">
        <v>420</v>
      </c>
      <c r="I26" s="1"/>
    </row>
    <row r="27" spans="1:9" ht="13.8" x14ac:dyDescent="0.25">
      <c r="A27" s="6">
        <v>8</v>
      </c>
      <c r="B27" s="13"/>
      <c r="C27" s="14"/>
      <c r="D27" s="14"/>
      <c r="E27" s="15"/>
      <c r="F27" s="15"/>
      <c r="G27" s="15"/>
      <c r="H27" s="9" t="s">
        <v>421</v>
      </c>
      <c r="I27" s="1"/>
    </row>
    <row r="28" spans="1:9" ht="13.8" x14ac:dyDescent="0.25">
      <c r="A28" s="6">
        <v>9</v>
      </c>
      <c r="B28" s="13"/>
      <c r="C28" s="14"/>
      <c r="D28" s="14"/>
      <c r="E28" s="15"/>
      <c r="F28" s="15"/>
      <c r="G28" s="15"/>
      <c r="H28" s="9" t="s">
        <v>422</v>
      </c>
      <c r="I28" s="1"/>
    </row>
    <row r="29" spans="1:9" ht="13.8" x14ac:dyDescent="0.25">
      <c r="A29" s="6">
        <v>10</v>
      </c>
      <c r="B29" s="13"/>
      <c r="C29" s="14"/>
      <c r="D29" s="14"/>
      <c r="E29" s="15"/>
      <c r="F29" s="15"/>
      <c r="G29" s="15"/>
      <c r="H29" s="9" t="s">
        <v>281</v>
      </c>
      <c r="I29" s="1"/>
    </row>
    <row r="30" spans="1:9" ht="13.8" x14ac:dyDescent="0.25">
      <c r="A30" s="6">
        <v>11</v>
      </c>
      <c r="B30" s="13"/>
      <c r="C30" s="14"/>
      <c r="D30" s="14"/>
      <c r="E30" s="15"/>
      <c r="F30" s="15"/>
      <c r="G30" s="15"/>
      <c r="H30" s="9" t="s">
        <v>149</v>
      </c>
      <c r="I30" s="1"/>
    </row>
    <row r="31" spans="1:9" ht="13.8" x14ac:dyDescent="0.25">
      <c r="A31" s="6">
        <v>12</v>
      </c>
      <c r="B31" s="13"/>
      <c r="C31" s="14"/>
      <c r="D31" s="14"/>
      <c r="E31" s="15"/>
      <c r="F31" s="15"/>
      <c r="G31" s="15"/>
      <c r="H31" s="9" t="s">
        <v>150</v>
      </c>
      <c r="I31" s="1"/>
    </row>
    <row r="32" spans="1:9" ht="13.8" x14ac:dyDescent="0.25">
      <c r="A32" s="6">
        <v>13</v>
      </c>
      <c r="B32" s="13"/>
      <c r="C32" s="14"/>
      <c r="D32" s="14"/>
      <c r="E32" s="15"/>
      <c r="F32" s="15"/>
      <c r="G32" s="15"/>
      <c r="H32" s="9" t="s">
        <v>151</v>
      </c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77" priority="7" stopIfTrue="1">
      <formula>MOD(ROW(),2)=0</formula>
    </cfRule>
    <cfRule type="expression" dxfId="76" priority="8" stopIfTrue="1">
      <formula>MOD(ROW(),2)=1</formula>
    </cfRule>
  </conditionalFormatting>
  <conditionalFormatting sqref="C20">
    <cfRule type="expression" dxfId="75" priority="5" stopIfTrue="1">
      <formula>MOD(ROW(),2)=0</formula>
    </cfRule>
    <cfRule type="expression" dxfId="74" priority="6" stopIfTrue="1">
      <formula>MOD(ROW(),2)=1</formula>
    </cfRule>
  </conditionalFormatting>
  <conditionalFormatting sqref="F20:G40">
    <cfRule type="expression" dxfId="73" priority="1" stopIfTrue="1">
      <formula>MOD(ROW(),2)=0</formula>
    </cfRule>
    <cfRule type="expression" dxfId="7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44"/>
  <sheetViews>
    <sheetView showGridLines="0" zoomScaleNormal="100" workbookViewId="0">
      <selection activeCell="D25" sqref="D25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423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13689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7435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5857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1578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0.54313682518810724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12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2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0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10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424</v>
      </c>
      <c r="C20" s="32" t="s">
        <v>425</v>
      </c>
      <c r="D20" s="32"/>
      <c r="E20" s="32" t="s">
        <v>60</v>
      </c>
      <c r="F20" s="12" t="s">
        <v>426</v>
      </c>
      <c r="G20" s="30"/>
      <c r="H20" s="9"/>
      <c r="I20" s="1"/>
    </row>
    <row r="21" spans="1:9" ht="13.8" x14ac:dyDescent="0.25">
      <c r="A21" s="6">
        <v>2</v>
      </c>
      <c r="B21" s="32" t="s">
        <v>427</v>
      </c>
      <c r="C21" s="32" t="s">
        <v>428</v>
      </c>
      <c r="D21" s="32"/>
      <c r="E21" s="32" t="s">
        <v>60</v>
      </c>
      <c r="F21" s="15" t="s">
        <v>429</v>
      </c>
      <c r="G21" s="31"/>
      <c r="H21" s="9"/>
      <c r="I21" s="1"/>
    </row>
    <row r="22" spans="1:9" ht="13.8" x14ac:dyDescent="0.25">
      <c r="A22" s="6">
        <v>3</v>
      </c>
      <c r="B22" s="32" t="s">
        <v>430</v>
      </c>
      <c r="C22" s="32" t="s">
        <v>431</v>
      </c>
      <c r="D22" s="32"/>
      <c r="E22" s="32" t="s">
        <v>34</v>
      </c>
      <c r="F22" s="15" t="s">
        <v>432</v>
      </c>
      <c r="G22" s="31"/>
      <c r="H22" s="9"/>
      <c r="I22" s="1"/>
    </row>
    <row r="23" spans="1:9" ht="13.8" x14ac:dyDescent="0.25">
      <c r="A23" s="6">
        <v>4</v>
      </c>
      <c r="B23" s="32" t="s">
        <v>433</v>
      </c>
      <c r="C23" s="32" t="s">
        <v>434</v>
      </c>
      <c r="D23" s="32"/>
      <c r="E23" s="32" t="s">
        <v>30</v>
      </c>
      <c r="F23" s="15" t="s">
        <v>435</v>
      </c>
      <c r="G23" s="31" t="s">
        <v>35</v>
      </c>
      <c r="H23" s="9"/>
      <c r="I23" s="1"/>
    </row>
    <row r="24" spans="1:9" ht="13.8" x14ac:dyDescent="0.25">
      <c r="A24" s="6">
        <v>5</v>
      </c>
      <c r="B24" s="32" t="s">
        <v>436</v>
      </c>
      <c r="C24" s="32" t="s">
        <v>437</v>
      </c>
      <c r="D24" s="32"/>
      <c r="E24" s="32" t="s">
        <v>60</v>
      </c>
      <c r="F24" s="15" t="s">
        <v>438</v>
      </c>
      <c r="G24" s="31"/>
      <c r="H24" s="9"/>
      <c r="I24" s="1"/>
    </row>
    <row r="25" spans="1:9" ht="13.8" x14ac:dyDescent="0.25">
      <c r="A25" s="6">
        <v>6</v>
      </c>
      <c r="B25" s="32" t="s">
        <v>439</v>
      </c>
      <c r="C25" s="32" t="s">
        <v>440</v>
      </c>
      <c r="D25" s="32" t="s">
        <v>33</v>
      </c>
      <c r="E25" s="32" t="s">
        <v>34</v>
      </c>
      <c r="F25" s="15" t="s">
        <v>243</v>
      </c>
      <c r="G25" s="31"/>
      <c r="H25" s="9"/>
      <c r="I25" s="1"/>
    </row>
    <row r="26" spans="1:9" ht="13.8" x14ac:dyDescent="0.25">
      <c r="A26" s="6">
        <v>7</v>
      </c>
      <c r="B26" s="32" t="s">
        <v>441</v>
      </c>
      <c r="C26" s="32" t="s">
        <v>442</v>
      </c>
      <c r="D26" s="32" t="s">
        <v>33</v>
      </c>
      <c r="E26" s="32" t="s">
        <v>30</v>
      </c>
      <c r="F26" s="15" t="s">
        <v>443</v>
      </c>
      <c r="G26" s="31" t="s">
        <v>35</v>
      </c>
      <c r="H26" s="9"/>
      <c r="I26" s="1"/>
    </row>
    <row r="27" spans="1:9" ht="13.8" x14ac:dyDescent="0.25">
      <c r="A27" s="6">
        <v>8</v>
      </c>
      <c r="B27" s="32" t="s">
        <v>444</v>
      </c>
      <c r="C27" s="32" t="s">
        <v>445</v>
      </c>
      <c r="D27" s="32" t="s">
        <v>33</v>
      </c>
      <c r="E27" s="32" t="s">
        <v>45</v>
      </c>
      <c r="F27" s="15" t="s">
        <v>446</v>
      </c>
      <c r="G27" s="31"/>
      <c r="H27" s="9"/>
      <c r="I27" s="1"/>
    </row>
    <row r="28" spans="1:9" ht="13.8" x14ac:dyDescent="0.25">
      <c r="A28" s="6">
        <v>9</v>
      </c>
      <c r="B28" s="32" t="s">
        <v>447</v>
      </c>
      <c r="C28" s="32" t="s">
        <v>448</v>
      </c>
      <c r="D28" s="32"/>
      <c r="E28" s="32" t="s">
        <v>34</v>
      </c>
      <c r="F28" s="15" t="s">
        <v>449</v>
      </c>
      <c r="G28" s="31"/>
      <c r="H28" s="9"/>
      <c r="I28" s="1"/>
    </row>
    <row r="29" spans="1:9" ht="13.8" x14ac:dyDescent="0.25">
      <c r="A29" s="6">
        <v>10</v>
      </c>
      <c r="B29" s="32" t="s">
        <v>450</v>
      </c>
      <c r="C29" s="32" t="s">
        <v>451</v>
      </c>
      <c r="D29" s="32" t="s">
        <v>33</v>
      </c>
      <c r="E29" s="32" t="s">
        <v>38</v>
      </c>
      <c r="F29" s="15" t="s">
        <v>452</v>
      </c>
      <c r="G29" s="31"/>
      <c r="H29" s="9"/>
      <c r="I29" s="1"/>
    </row>
    <row r="30" spans="1:9" ht="13.8" x14ac:dyDescent="0.25">
      <c r="A30" s="6">
        <v>11</v>
      </c>
      <c r="B30" s="32" t="s">
        <v>453</v>
      </c>
      <c r="C30" s="32" t="s">
        <v>454</v>
      </c>
      <c r="D30" s="32" t="s">
        <v>33</v>
      </c>
      <c r="E30" s="32" t="s">
        <v>30</v>
      </c>
      <c r="F30" s="15" t="s">
        <v>455</v>
      </c>
      <c r="G30" s="31" t="s">
        <v>35</v>
      </c>
      <c r="H30" s="9"/>
      <c r="I30" s="1"/>
    </row>
    <row r="31" spans="1:9" ht="13.8" x14ac:dyDescent="0.25">
      <c r="A31" s="6">
        <v>12</v>
      </c>
      <c r="B31" s="32" t="s">
        <v>456</v>
      </c>
      <c r="C31" s="32" t="s">
        <v>457</v>
      </c>
      <c r="D31" s="32"/>
      <c r="E31" s="32" t="s">
        <v>38</v>
      </c>
      <c r="F31" s="15" t="s">
        <v>458</v>
      </c>
      <c r="G31" s="31"/>
      <c r="H31" s="9"/>
      <c r="I31" s="1"/>
    </row>
    <row r="32" spans="1:9" ht="13.8" x14ac:dyDescent="0.25">
      <c r="A32" s="6">
        <v>13</v>
      </c>
      <c r="B32" s="32" t="s">
        <v>459</v>
      </c>
      <c r="C32" s="32" t="s">
        <v>460</v>
      </c>
      <c r="D32" s="32"/>
      <c r="E32" s="32" t="s">
        <v>38</v>
      </c>
      <c r="F32" s="15" t="s">
        <v>160</v>
      </c>
      <c r="G32" s="31"/>
      <c r="H32" s="9"/>
      <c r="I32" s="1"/>
    </row>
    <row r="33" spans="1:9" ht="13.8" x14ac:dyDescent="0.25">
      <c r="A33" s="6">
        <v>14</v>
      </c>
      <c r="B33" s="32" t="s">
        <v>461</v>
      </c>
      <c r="C33" s="32" t="s">
        <v>462</v>
      </c>
      <c r="D33" s="32"/>
      <c r="E33" s="32" t="s">
        <v>45</v>
      </c>
      <c r="F33" s="15" t="s">
        <v>463</v>
      </c>
      <c r="G33" s="31"/>
      <c r="H33" s="9"/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71" priority="7" stopIfTrue="1">
      <formula>MOD(ROW(),2)=0</formula>
    </cfRule>
    <cfRule type="expression" dxfId="70" priority="8" stopIfTrue="1">
      <formula>MOD(ROW(),2)=1</formula>
    </cfRule>
  </conditionalFormatting>
  <conditionalFormatting sqref="C20">
    <cfRule type="expression" dxfId="69" priority="5" stopIfTrue="1">
      <formula>MOD(ROW(),2)=0</formula>
    </cfRule>
    <cfRule type="expression" dxfId="68" priority="6" stopIfTrue="1">
      <formula>MOD(ROW(),2)=1</formula>
    </cfRule>
  </conditionalFormatting>
  <conditionalFormatting sqref="F20:G40">
    <cfRule type="expression" dxfId="67" priority="1" stopIfTrue="1">
      <formula>MOD(ROW(),2)=0</formula>
    </cfRule>
    <cfRule type="expression" dxfId="6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/>
  <dimension ref="A1:I44"/>
  <sheetViews>
    <sheetView showGridLines="0" zoomScaleNormal="100" workbookViewId="0">
      <selection activeCell="D30" sqref="D30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464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12282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6977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5707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1270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0.56806709005048039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7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2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5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465</v>
      </c>
      <c r="C20" s="32" t="s">
        <v>276</v>
      </c>
      <c r="D20" s="32"/>
      <c r="E20" s="32" t="s">
        <v>38</v>
      </c>
      <c r="F20" s="12" t="s">
        <v>466</v>
      </c>
      <c r="G20" s="30"/>
      <c r="H20" s="9"/>
      <c r="I20" s="1"/>
    </row>
    <row r="21" spans="1:9" ht="13.8" x14ac:dyDescent="0.25">
      <c r="A21" s="6">
        <v>2</v>
      </c>
      <c r="B21" s="32" t="s">
        <v>467</v>
      </c>
      <c r="C21" s="32" t="s">
        <v>468</v>
      </c>
      <c r="D21" s="32" t="s">
        <v>33</v>
      </c>
      <c r="E21" s="32" t="s">
        <v>45</v>
      </c>
      <c r="F21" s="15" t="s">
        <v>469</v>
      </c>
      <c r="G21" s="31"/>
      <c r="H21" s="9"/>
      <c r="I21" s="1"/>
    </row>
    <row r="22" spans="1:9" ht="13.8" x14ac:dyDescent="0.25">
      <c r="A22" s="6">
        <v>3</v>
      </c>
      <c r="B22" s="32" t="s">
        <v>470</v>
      </c>
      <c r="C22" s="32" t="s">
        <v>471</v>
      </c>
      <c r="D22" s="32"/>
      <c r="E22" s="32" t="s">
        <v>30</v>
      </c>
      <c r="F22" s="15" t="s">
        <v>472</v>
      </c>
      <c r="G22" s="31" t="s">
        <v>35</v>
      </c>
      <c r="H22" s="9"/>
      <c r="I22" s="1"/>
    </row>
    <row r="23" spans="1:9" ht="13.8" x14ac:dyDescent="0.25">
      <c r="A23" s="6">
        <v>4</v>
      </c>
      <c r="B23" s="32" t="s">
        <v>473</v>
      </c>
      <c r="C23" s="32" t="s">
        <v>474</v>
      </c>
      <c r="D23" s="32" t="s">
        <v>33</v>
      </c>
      <c r="E23" s="32" t="s">
        <v>34</v>
      </c>
      <c r="F23" s="15" t="s">
        <v>475</v>
      </c>
      <c r="G23" s="31"/>
      <c r="H23" s="9"/>
      <c r="I23" s="1"/>
    </row>
    <row r="24" spans="1:9" ht="13.8" x14ac:dyDescent="0.25">
      <c r="A24" s="6">
        <v>5</v>
      </c>
      <c r="B24" s="32" t="s">
        <v>476</v>
      </c>
      <c r="C24" s="32" t="s">
        <v>477</v>
      </c>
      <c r="D24" s="32"/>
      <c r="E24" s="32" t="s">
        <v>34</v>
      </c>
      <c r="F24" s="15" t="s">
        <v>478</v>
      </c>
      <c r="G24" s="31"/>
      <c r="H24" s="9"/>
      <c r="I24" s="1"/>
    </row>
    <row r="25" spans="1:9" ht="13.8" x14ac:dyDescent="0.25">
      <c r="A25" s="6">
        <v>6</v>
      </c>
      <c r="B25" s="32" t="s">
        <v>479</v>
      </c>
      <c r="C25" s="32" t="s">
        <v>480</v>
      </c>
      <c r="D25" s="32" t="s">
        <v>33</v>
      </c>
      <c r="E25" s="32" t="s">
        <v>38</v>
      </c>
      <c r="F25" s="15" t="s">
        <v>481</v>
      </c>
      <c r="G25" s="31"/>
      <c r="H25" s="9"/>
      <c r="I25" s="1"/>
    </row>
    <row r="26" spans="1:9" ht="13.8" x14ac:dyDescent="0.25">
      <c r="A26" s="6">
        <v>7</v>
      </c>
      <c r="B26" s="32" t="s">
        <v>482</v>
      </c>
      <c r="C26" s="32" t="s">
        <v>483</v>
      </c>
      <c r="D26" s="32"/>
      <c r="E26" s="32" t="s">
        <v>60</v>
      </c>
      <c r="F26" s="15" t="s">
        <v>484</v>
      </c>
      <c r="G26" s="31"/>
      <c r="H26" s="9"/>
      <c r="I26" s="1"/>
    </row>
    <row r="27" spans="1:9" ht="13.8" x14ac:dyDescent="0.25">
      <c r="A27" s="6">
        <v>8</v>
      </c>
      <c r="B27" s="32" t="s">
        <v>88</v>
      </c>
      <c r="C27" s="32" t="s">
        <v>485</v>
      </c>
      <c r="D27" s="32" t="s">
        <v>33</v>
      </c>
      <c r="E27" s="32" t="s">
        <v>30</v>
      </c>
      <c r="F27" s="15" t="s">
        <v>486</v>
      </c>
      <c r="G27" s="31" t="s">
        <v>35</v>
      </c>
      <c r="H27" s="9"/>
      <c r="I27" s="1"/>
    </row>
    <row r="28" spans="1:9" ht="13.8" x14ac:dyDescent="0.25">
      <c r="A28" s="6">
        <v>9</v>
      </c>
      <c r="B28" s="32" t="s">
        <v>487</v>
      </c>
      <c r="C28" s="32" t="s">
        <v>488</v>
      </c>
      <c r="D28" s="32" t="s">
        <v>33</v>
      </c>
      <c r="E28" s="32" t="s">
        <v>60</v>
      </c>
      <c r="F28" s="15" t="s">
        <v>489</v>
      </c>
      <c r="G28" s="31"/>
      <c r="H28" s="9"/>
      <c r="I28" s="1"/>
    </row>
    <row r="29" spans="1:9" ht="13.8" x14ac:dyDescent="0.25">
      <c r="A29" s="6">
        <v>10</v>
      </c>
      <c r="B29" s="32" t="s">
        <v>490</v>
      </c>
      <c r="C29" s="32" t="s">
        <v>491</v>
      </c>
      <c r="D29" s="32"/>
      <c r="E29" s="32" t="s">
        <v>38</v>
      </c>
      <c r="F29" s="15" t="s">
        <v>492</v>
      </c>
      <c r="G29" s="31"/>
      <c r="H29" s="9"/>
      <c r="I29" s="1"/>
    </row>
    <row r="30" spans="1:9" ht="13.8" x14ac:dyDescent="0.25">
      <c r="A30" s="6">
        <v>11</v>
      </c>
      <c r="B30" s="32" t="s">
        <v>493</v>
      </c>
      <c r="C30" s="32" t="s">
        <v>494</v>
      </c>
      <c r="D30" s="32" t="s">
        <v>33</v>
      </c>
      <c r="E30" s="32" t="s">
        <v>30</v>
      </c>
      <c r="F30" s="15" t="s">
        <v>495</v>
      </c>
      <c r="G30" s="31" t="s">
        <v>35</v>
      </c>
      <c r="H30" s="9"/>
      <c r="I30" s="1"/>
    </row>
    <row r="31" spans="1:9" ht="13.8" x14ac:dyDescent="0.25">
      <c r="A31" s="6">
        <v>12</v>
      </c>
      <c r="B31" s="32" t="s">
        <v>496</v>
      </c>
      <c r="C31" s="32" t="s">
        <v>497</v>
      </c>
      <c r="D31" s="32"/>
      <c r="E31" s="32" t="s">
        <v>34</v>
      </c>
      <c r="F31" s="15" t="s">
        <v>498</v>
      </c>
      <c r="G31" s="31"/>
      <c r="H31" s="9"/>
      <c r="I31" s="1"/>
    </row>
    <row r="32" spans="1:9" ht="13.8" x14ac:dyDescent="0.25">
      <c r="A32" s="6">
        <v>13</v>
      </c>
      <c r="B32" s="32" t="s">
        <v>499</v>
      </c>
      <c r="C32" s="32" t="s">
        <v>500</v>
      </c>
      <c r="D32" s="32"/>
      <c r="E32" s="32" t="s">
        <v>60</v>
      </c>
      <c r="F32" s="15" t="s">
        <v>501</v>
      </c>
      <c r="G32" s="31"/>
      <c r="H32" s="9"/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65" priority="7" stopIfTrue="1">
      <formula>MOD(ROW(),2)=0</formula>
    </cfRule>
    <cfRule type="expression" dxfId="64" priority="8" stopIfTrue="1">
      <formula>MOD(ROW(),2)=1</formula>
    </cfRule>
  </conditionalFormatting>
  <conditionalFormatting sqref="C20">
    <cfRule type="expression" dxfId="63" priority="5" stopIfTrue="1">
      <formula>MOD(ROW(),2)=0</formula>
    </cfRule>
    <cfRule type="expression" dxfId="62" priority="6" stopIfTrue="1">
      <formula>MOD(ROW(),2)=1</formula>
    </cfRule>
  </conditionalFormatting>
  <conditionalFormatting sqref="F20:G40">
    <cfRule type="expression" dxfId="61" priority="1" stopIfTrue="1">
      <formula>MOD(ROW(),2)=0</formula>
    </cfRule>
    <cfRule type="expression" dxfId="6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"/>
  <dimension ref="A1:I44"/>
  <sheetViews>
    <sheetView showGridLines="0" zoomScaleNormal="100" workbookViewId="0">
      <selection activeCell="D44" sqref="D44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502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12163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6512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5099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1413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0.53539422839759931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5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2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3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503</v>
      </c>
      <c r="C20" s="32" t="s">
        <v>504</v>
      </c>
      <c r="D20" s="32"/>
      <c r="E20" s="32" t="s">
        <v>38</v>
      </c>
      <c r="F20" s="12" t="s">
        <v>505</v>
      </c>
      <c r="G20" s="30"/>
      <c r="H20" s="9"/>
      <c r="I20" s="1"/>
    </row>
    <row r="21" spans="1:9" ht="13.8" x14ac:dyDescent="0.25">
      <c r="A21" s="6">
        <v>2</v>
      </c>
      <c r="B21" s="32" t="s">
        <v>506</v>
      </c>
      <c r="C21" s="32" t="s">
        <v>507</v>
      </c>
      <c r="D21" s="32"/>
      <c r="E21" s="32" t="s">
        <v>30</v>
      </c>
      <c r="F21" s="15" t="s">
        <v>508</v>
      </c>
      <c r="G21" s="31" t="s">
        <v>35</v>
      </c>
      <c r="H21" s="9"/>
      <c r="I21" s="1"/>
    </row>
    <row r="22" spans="1:9" ht="13.8" x14ac:dyDescent="0.25">
      <c r="A22" s="6">
        <v>3</v>
      </c>
      <c r="B22" s="32" t="s">
        <v>509</v>
      </c>
      <c r="C22" s="32" t="s">
        <v>510</v>
      </c>
      <c r="D22" s="32"/>
      <c r="E22" s="32" t="s">
        <v>30</v>
      </c>
      <c r="F22" s="15" t="s">
        <v>511</v>
      </c>
      <c r="G22" s="31" t="s">
        <v>35</v>
      </c>
      <c r="H22" s="9"/>
      <c r="I22" s="1"/>
    </row>
    <row r="23" spans="1:9" ht="13.8" x14ac:dyDescent="0.25">
      <c r="A23" s="6">
        <v>4</v>
      </c>
      <c r="B23" s="32" t="s">
        <v>512</v>
      </c>
      <c r="C23" s="32" t="s">
        <v>513</v>
      </c>
      <c r="D23" s="32"/>
      <c r="E23" s="32" t="s">
        <v>34</v>
      </c>
      <c r="F23" s="15" t="s">
        <v>514</v>
      </c>
      <c r="G23" s="31"/>
      <c r="H23" s="9"/>
      <c r="I23" s="1"/>
    </row>
    <row r="24" spans="1:9" ht="13.8" x14ac:dyDescent="0.25">
      <c r="A24" s="6">
        <v>5</v>
      </c>
      <c r="B24" s="32" t="s">
        <v>414</v>
      </c>
      <c r="C24" s="32" t="s">
        <v>515</v>
      </c>
      <c r="D24" s="32"/>
      <c r="E24" s="32" t="s">
        <v>45</v>
      </c>
      <c r="F24" s="15" t="s">
        <v>516</v>
      </c>
      <c r="G24" s="31"/>
      <c r="H24" s="9"/>
      <c r="I24" s="1"/>
    </row>
    <row r="25" spans="1:9" ht="13.8" x14ac:dyDescent="0.25">
      <c r="A25" s="6">
        <v>6</v>
      </c>
      <c r="B25" s="32" t="s">
        <v>517</v>
      </c>
      <c r="C25" s="32" t="s">
        <v>518</v>
      </c>
      <c r="D25" s="32"/>
      <c r="E25" s="32" t="s">
        <v>45</v>
      </c>
      <c r="F25" s="15" t="s">
        <v>519</v>
      </c>
      <c r="G25" s="31"/>
      <c r="H25" s="9"/>
      <c r="I25" s="1"/>
    </row>
    <row r="26" spans="1:9" ht="13.8" x14ac:dyDescent="0.25">
      <c r="A26" s="6">
        <v>7</v>
      </c>
      <c r="B26" s="32" t="s">
        <v>520</v>
      </c>
      <c r="C26" s="32" t="s">
        <v>521</v>
      </c>
      <c r="D26" s="32"/>
      <c r="E26" s="32" t="s">
        <v>34</v>
      </c>
      <c r="F26" s="15" t="s">
        <v>522</v>
      </c>
      <c r="G26" s="31"/>
      <c r="H26" s="9"/>
      <c r="I26" s="1"/>
    </row>
    <row r="27" spans="1:9" ht="13.8" x14ac:dyDescent="0.25">
      <c r="A27" s="6">
        <v>8</v>
      </c>
      <c r="B27" s="32" t="s">
        <v>523</v>
      </c>
      <c r="C27" s="32" t="s">
        <v>524</v>
      </c>
      <c r="D27" s="32" t="s">
        <v>35</v>
      </c>
      <c r="E27" s="32" t="s">
        <v>45</v>
      </c>
      <c r="F27" s="15" t="s">
        <v>525</v>
      </c>
      <c r="G27" s="31"/>
      <c r="H27" s="9"/>
      <c r="I27" s="1"/>
    </row>
    <row r="28" spans="1:9" ht="13.8" x14ac:dyDescent="0.25">
      <c r="A28" s="6">
        <v>9</v>
      </c>
      <c r="B28" s="32" t="s">
        <v>526</v>
      </c>
      <c r="C28" s="32" t="s">
        <v>527</v>
      </c>
      <c r="D28" s="32" t="s">
        <v>35</v>
      </c>
      <c r="E28" s="32" t="s">
        <v>60</v>
      </c>
      <c r="F28" s="15" t="s">
        <v>528</v>
      </c>
      <c r="G28" s="31"/>
      <c r="H28" s="9"/>
      <c r="I28" s="1"/>
    </row>
    <row r="29" spans="1:9" ht="13.8" x14ac:dyDescent="0.25">
      <c r="A29" s="6">
        <v>10</v>
      </c>
      <c r="B29" s="32" t="s">
        <v>529</v>
      </c>
      <c r="C29" s="32" t="s">
        <v>530</v>
      </c>
      <c r="D29" s="32" t="s">
        <v>35</v>
      </c>
      <c r="E29" s="32" t="s">
        <v>38</v>
      </c>
      <c r="F29" s="15" t="s">
        <v>531</v>
      </c>
      <c r="G29" s="31"/>
      <c r="H29" s="9"/>
      <c r="I29" s="1"/>
    </row>
    <row r="30" spans="1:9" ht="13.8" x14ac:dyDescent="0.25">
      <c r="A30" s="6">
        <v>11</v>
      </c>
      <c r="B30" s="32" t="s">
        <v>354</v>
      </c>
      <c r="C30" s="32" t="s">
        <v>532</v>
      </c>
      <c r="D30" s="32"/>
      <c r="E30" s="32" t="s">
        <v>30</v>
      </c>
      <c r="F30" s="15" t="s">
        <v>533</v>
      </c>
      <c r="G30" s="31" t="s">
        <v>35</v>
      </c>
      <c r="H30" s="9"/>
      <c r="I30" s="1"/>
    </row>
    <row r="31" spans="1:9" ht="13.8" x14ac:dyDescent="0.25">
      <c r="A31" s="6">
        <v>12</v>
      </c>
      <c r="B31" s="32" t="s">
        <v>534</v>
      </c>
      <c r="C31" s="32" t="s">
        <v>535</v>
      </c>
      <c r="D31" s="32"/>
      <c r="E31" s="32" t="s">
        <v>60</v>
      </c>
      <c r="F31" s="15" t="s">
        <v>536</v>
      </c>
      <c r="G31" s="31"/>
      <c r="H31" s="9"/>
      <c r="I31" s="1"/>
    </row>
    <row r="32" spans="1:9" ht="13.8" x14ac:dyDescent="0.25">
      <c r="A32" s="6">
        <v>13</v>
      </c>
      <c r="B32" s="32" t="s">
        <v>537</v>
      </c>
      <c r="C32" s="32" t="s">
        <v>538</v>
      </c>
      <c r="D32" s="32"/>
      <c r="E32" s="32" t="s">
        <v>60</v>
      </c>
      <c r="F32" s="15" t="s">
        <v>539</v>
      </c>
      <c r="G32" s="31"/>
      <c r="H32" s="9"/>
      <c r="I32" s="1"/>
    </row>
    <row r="33" spans="1:9" ht="13.8" x14ac:dyDescent="0.25">
      <c r="A33" s="6">
        <v>14</v>
      </c>
      <c r="B33" s="32" t="s">
        <v>540</v>
      </c>
      <c r="C33" s="32" t="s">
        <v>541</v>
      </c>
      <c r="D33" s="32"/>
      <c r="E33" s="32" t="s">
        <v>34</v>
      </c>
      <c r="F33" s="15" t="s">
        <v>542</v>
      </c>
      <c r="G33" s="31"/>
      <c r="H33" s="9"/>
      <c r="I33" s="1"/>
    </row>
    <row r="34" spans="1:9" ht="13.8" x14ac:dyDescent="0.25">
      <c r="A34" s="6">
        <v>15</v>
      </c>
      <c r="B34" s="32" t="s">
        <v>543</v>
      </c>
      <c r="C34" s="32" t="s">
        <v>544</v>
      </c>
      <c r="D34" s="32" t="s">
        <v>35</v>
      </c>
      <c r="E34" s="32" t="s">
        <v>38</v>
      </c>
      <c r="F34" s="15" t="s">
        <v>545</v>
      </c>
      <c r="G34" s="31"/>
      <c r="H34" s="9"/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59" priority="7" stopIfTrue="1">
      <formula>MOD(ROW(),2)=0</formula>
    </cfRule>
    <cfRule type="expression" dxfId="58" priority="8" stopIfTrue="1">
      <formula>MOD(ROW(),2)=1</formula>
    </cfRule>
  </conditionalFormatting>
  <conditionalFormatting sqref="C20">
    <cfRule type="expression" dxfId="57" priority="5" stopIfTrue="1">
      <formula>MOD(ROW(),2)=0</formula>
    </cfRule>
    <cfRule type="expression" dxfId="56" priority="6" stopIfTrue="1">
      <formula>MOD(ROW(),2)=1</formula>
    </cfRule>
  </conditionalFormatting>
  <conditionalFormatting sqref="F20:G40">
    <cfRule type="expression" dxfId="55" priority="1" stopIfTrue="1">
      <formula>MOD(ROW(),2)=0</formula>
    </cfRule>
    <cfRule type="expression" dxfId="5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"/>
  <dimension ref="A1:I44"/>
  <sheetViews>
    <sheetView showGridLines="0" zoomScaleNormal="100" workbookViewId="0">
      <selection activeCell="D49" sqref="D48:D49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546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8181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3240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2662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578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0.39603960396039606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4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1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3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547</v>
      </c>
      <c r="C20" s="32" t="s">
        <v>548</v>
      </c>
      <c r="D20" s="32" t="s">
        <v>33</v>
      </c>
      <c r="E20" s="32" t="s">
        <v>34</v>
      </c>
      <c r="F20" s="12" t="s">
        <v>549</v>
      </c>
      <c r="G20" s="30"/>
      <c r="H20" s="9"/>
      <c r="I20" s="1"/>
    </row>
    <row r="21" spans="1:9" ht="13.8" x14ac:dyDescent="0.25">
      <c r="A21" s="6">
        <v>2</v>
      </c>
      <c r="B21" s="32" t="s">
        <v>550</v>
      </c>
      <c r="C21" s="32" t="s">
        <v>551</v>
      </c>
      <c r="D21" s="32"/>
      <c r="E21" s="32" t="s">
        <v>30</v>
      </c>
      <c r="F21" s="15" t="s">
        <v>552</v>
      </c>
      <c r="G21" s="31" t="s">
        <v>35</v>
      </c>
      <c r="H21" s="9"/>
      <c r="I21" s="1"/>
    </row>
    <row r="22" spans="1:9" ht="13.8" x14ac:dyDescent="0.25">
      <c r="A22" s="6">
        <v>3</v>
      </c>
      <c r="B22" s="32" t="s">
        <v>553</v>
      </c>
      <c r="C22" s="32" t="s">
        <v>554</v>
      </c>
      <c r="D22" s="32" t="s">
        <v>33</v>
      </c>
      <c r="E22" s="32" t="s">
        <v>38</v>
      </c>
      <c r="F22" s="15" t="s">
        <v>555</v>
      </c>
      <c r="G22" s="31"/>
      <c r="H22" s="9"/>
      <c r="I22" s="1"/>
    </row>
    <row r="23" spans="1:9" ht="13.8" x14ac:dyDescent="0.25">
      <c r="A23" s="6">
        <v>4</v>
      </c>
      <c r="B23" s="32" t="s">
        <v>556</v>
      </c>
      <c r="C23" s="32" t="s">
        <v>557</v>
      </c>
      <c r="D23" s="32"/>
      <c r="E23" s="32" t="s">
        <v>38</v>
      </c>
      <c r="F23" s="15" t="s">
        <v>558</v>
      </c>
      <c r="G23" s="31"/>
      <c r="H23" s="9"/>
      <c r="I23" s="1"/>
    </row>
    <row r="24" spans="1:9" ht="13.8" x14ac:dyDescent="0.25">
      <c r="A24" s="6">
        <v>5</v>
      </c>
      <c r="B24" s="32" t="s">
        <v>559</v>
      </c>
      <c r="C24" s="32" t="s">
        <v>560</v>
      </c>
      <c r="D24" s="32"/>
      <c r="E24" s="32" t="s">
        <v>30</v>
      </c>
      <c r="F24" s="15" t="s">
        <v>561</v>
      </c>
      <c r="G24" s="31"/>
      <c r="H24" s="9"/>
      <c r="I24" s="1"/>
    </row>
    <row r="25" spans="1:9" ht="13.8" x14ac:dyDescent="0.25">
      <c r="A25" s="6">
        <v>6</v>
      </c>
      <c r="B25" s="32" t="s">
        <v>562</v>
      </c>
      <c r="C25" s="32" t="s">
        <v>563</v>
      </c>
      <c r="D25" s="32" t="s">
        <v>33</v>
      </c>
      <c r="E25" s="32" t="s">
        <v>60</v>
      </c>
      <c r="F25" s="15" t="s">
        <v>564</v>
      </c>
      <c r="G25" s="31" t="s">
        <v>35</v>
      </c>
      <c r="H25" s="9"/>
      <c r="I25" s="1"/>
    </row>
    <row r="26" spans="1:9" ht="13.8" x14ac:dyDescent="0.25">
      <c r="A26" s="6">
        <v>7</v>
      </c>
      <c r="B26" s="32" t="s">
        <v>318</v>
      </c>
      <c r="C26" s="32" t="s">
        <v>565</v>
      </c>
      <c r="D26" s="32" t="s">
        <v>33</v>
      </c>
      <c r="E26" s="32" t="s">
        <v>60</v>
      </c>
      <c r="F26" s="15" t="s">
        <v>561</v>
      </c>
      <c r="G26" s="31"/>
      <c r="H26" s="9"/>
      <c r="I26" s="1"/>
    </row>
    <row r="27" spans="1:9" ht="13.8" x14ac:dyDescent="0.25">
      <c r="A27" s="6">
        <v>8</v>
      </c>
      <c r="B27" s="32" t="s">
        <v>321</v>
      </c>
      <c r="C27" s="32" t="s">
        <v>566</v>
      </c>
      <c r="D27" s="32"/>
      <c r="E27" s="32" t="s">
        <v>45</v>
      </c>
      <c r="F27" s="15" t="s">
        <v>872</v>
      </c>
      <c r="G27" s="31"/>
      <c r="H27" s="9"/>
      <c r="I27" s="1"/>
    </row>
    <row r="28" spans="1:9" ht="13.8" x14ac:dyDescent="0.25">
      <c r="A28" s="6">
        <v>9</v>
      </c>
      <c r="B28" s="32" t="s">
        <v>568</v>
      </c>
      <c r="C28" s="32" t="s">
        <v>569</v>
      </c>
      <c r="D28" s="32"/>
      <c r="E28" s="32" t="s">
        <v>45</v>
      </c>
      <c r="F28" s="15" t="s">
        <v>570</v>
      </c>
      <c r="G28" s="31"/>
      <c r="H28" s="9"/>
      <c r="I28" s="1"/>
    </row>
    <row r="29" spans="1:9" ht="13.8" x14ac:dyDescent="0.25">
      <c r="A29" s="6">
        <v>10</v>
      </c>
      <c r="B29" s="32" t="s">
        <v>114</v>
      </c>
      <c r="C29" s="32" t="s">
        <v>571</v>
      </c>
      <c r="D29" s="32" t="s">
        <v>33</v>
      </c>
      <c r="E29" s="32" t="s">
        <v>34</v>
      </c>
      <c r="F29" s="15" t="s">
        <v>572</v>
      </c>
      <c r="G29" s="31"/>
      <c r="H29" s="9"/>
      <c r="I29" s="1"/>
    </row>
    <row r="30" spans="1:9" ht="13.8" x14ac:dyDescent="0.25">
      <c r="A30" s="6">
        <v>11</v>
      </c>
      <c r="B30" s="13"/>
      <c r="C30" s="14"/>
      <c r="D30" s="14"/>
      <c r="E30" s="15"/>
      <c r="F30" s="15"/>
      <c r="G30" s="15"/>
      <c r="H30" s="9" t="s">
        <v>149</v>
      </c>
      <c r="I30" s="1"/>
    </row>
    <row r="31" spans="1:9" ht="13.8" x14ac:dyDescent="0.25">
      <c r="A31" s="6">
        <v>12</v>
      </c>
      <c r="B31" s="13"/>
      <c r="C31" s="14"/>
      <c r="D31" s="14"/>
      <c r="E31" s="15"/>
      <c r="F31" s="15"/>
      <c r="G31" s="15"/>
      <c r="H31" s="9" t="s">
        <v>150</v>
      </c>
      <c r="I31" s="1"/>
    </row>
    <row r="32" spans="1:9" ht="13.8" x14ac:dyDescent="0.25">
      <c r="A32" s="6">
        <v>13</v>
      </c>
      <c r="B32" s="13"/>
      <c r="C32" s="14"/>
      <c r="D32" s="14"/>
      <c r="E32" s="15"/>
      <c r="F32" s="15"/>
      <c r="G32" s="15"/>
      <c r="H32" s="9" t="s">
        <v>151</v>
      </c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53" priority="7" stopIfTrue="1">
      <formula>MOD(ROW(),2)=0</formula>
    </cfRule>
    <cfRule type="expression" dxfId="52" priority="8" stopIfTrue="1">
      <formula>MOD(ROW(),2)=1</formula>
    </cfRule>
  </conditionalFormatting>
  <conditionalFormatting sqref="C20">
    <cfRule type="expression" dxfId="51" priority="5" stopIfTrue="1">
      <formula>MOD(ROW(),2)=0</formula>
    </cfRule>
    <cfRule type="expression" dxfId="50" priority="6" stopIfTrue="1">
      <formula>MOD(ROW(),2)=1</formula>
    </cfRule>
  </conditionalFormatting>
  <conditionalFormatting sqref="F20:G40">
    <cfRule type="expression" dxfId="49" priority="1" stopIfTrue="1">
      <formula>MOD(ROW(),2)=0</formula>
    </cfRule>
    <cfRule type="expression" dxfId="4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"/>
  <dimension ref="A1:I44"/>
  <sheetViews>
    <sheetView showGridLines="0" zoomScaleNormal="100" workbookViewId="0">
      <selection activeCell="D48" sqref="D48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573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118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9388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4531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3591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940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0.48263740945888367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12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7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5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254</v>
      </c>
      <c r="C20" s="32" t="s">
        <v>574</v>
      </c>
      <c r="D20" s="32" t="s">
        <v>33</v>
      </c>
      <c r="E20" s="32" t="s">
        <v>30</v>
      </c>
      <c r="F20" s="12" t="s">
        <v>575</v>
      </c>
      <c r="G20" s="30" t="s">
        <v>35</v>
      </c>
      <c r="H20" s="9"/>
      <c r="I20" s="1"/>
    </row>
    <row r="21" spans="1:9" ht="13.8" x14ac:dyDescent="0.25">
      <c r="A21" s="6">
        <v>2</v>
      </c>
      <c r="B21" s="32" t="s">
        <v>576</v>
      </c>
      <c r="C21" s="32" t="s">
        <v>577</v>
      </c>
      <c r="D21" s="32"/>
      <c r="E21" s="32" t="s">
        <v>38</v>
      </c>
      <c r="F21" s="15" t="s">
        <v>578</v>
      </c>
      <c r="G21" s="31"/>
      <c r="H21" s="9"/>
      <c r="I21" s="1"/>
    </row>
    <row r="22" spans="1:9" ht="13.8" x14ac:dyDescent="0.25">
      <c r="A22" s="6">
        <v>3</v>
      </c>
      <c r="B22" s="32" t="s">
        <v>579</v>
      </c>
      <c r="C22" s="32" t="s">
        <v>454</v>
      </c>
      <c r="D22" s="32" t="s">
        <v>33</v>
      </c>
      <c r="E22" s="32" t="s">
        <v>45</v>
      </c>
      <c r="F22" s="15" t="s">
        <v>580</v>
      </c>
      <c r="G22" s="31"/>
      <c r="H22" s="9"/>
      <c r="I22" s="1"/>
    </row>
    <row r="23" spans="1:9" ht="13.8" x14ac:dyDescent="0.25">
      <c r="A23" s="6">
        <v>4</v>
      </c>
      <c r="B23" s="32" t="s">
        <v>581</v>
      </c>
      <c r="C23" s="32" t="s">
        <v>582</v>
      </c>
      <c r="D23" s="32"/>
      <c r="E23" s="32" t="s">
        <v>38</v>
      </c>
      <c r="F23" s="15" t="s">
        <v>583</v>
      </c>
      <c r="G23" s="31"/>
      <c r="H23" s="9"/>
      <c r="I23" s="1"/>
    </row>
    <row r="24" spans="1:9" ht="13.8" x14ac:dyDescent="0.25">
      <c r="A24" s="6">
        <v>5</v>
      </c>
      <c r="B24" s="32" t="s">
        <v>584</v>
      </c>
      <c r="C24" s="32" t="s">
        <v>585</v>
      </c>
      <c r="D24" s="32"/>
      <c r="E24" s="32" t="s">
        <v>60</v>
      </c>
      <c r="F24" s="15" t="s">
        <v>262</v>
      </c>
      <c r="G24" s="31"/>
      <c r="H24" s="9"/>
      <c r="I24" s="1"/>
    </row>
    <row r="25" spans="1:9" ht="13.8" x14ac:dyDescent="0.25">
      <c r="A25" s="6">
        <v>6</v>
      </c>
      <c r="B25" s="32" t="s">
        <v>586</v>
      </c>
      <c r="C25" s="32" t="s">
        <v>587</v>
      </c>
      <c r="D25" s="32"/>
      <c r="E25" s="32" t="s">
        <v>60</v>
      </c>
      <c r="F25" s="15" t="s">
        <v>588</v>
      </c>
      <c r="G25" s="31"/>
      <c r="H25" s="9"/>
      <c r="I25" s="1"/>
    </row>
    <row r="26" spans="1:9" ht="13.8" x14ac:dyDescent="0.25">
      <c r="A26" s="6">
        <v>7</v>
      </c>
      <c r="B26" s="32" t="s">
        <v>589</v>
      </c>
      <c r="C26" s="32" t="s">
        <v>590</v>
      </c>
      <c r="D26" s="32"/>
      <c r="E26" s="32" t="s">
        <v>34</v>
      </c>
      <c r="F26" s="15" t="s">
        <v>591</v>
      </c>
      <c r="G26" s="31"/>
      <c r="H26" s="9"/>
      <c r="I26" s="1"/>
    </row>
    <row r="27" spans="1:9" ht="13.8" x14ac:dyDescent="0.25">
      <c r="A27" s="6">
        <v>8</v>
      </c>
      <c r="B27" s="32" t="s">
        <v>592</v>
      </c>
      <c r="C27" s="32" t="s">
        <v>593</v>
      </c>
      <c r="D27" s="32" t="s">
        <v>33</v>
      </c>
      <c r="E27" s="32" t="s">
        <v>30</v>
      </c>
      <c r="F27" s="15" t="s">
        <v>594</v>
      </c>
      <c r="G27" s="31" t="s">
        <v>35</v>
      </c>
      <c r="H27" s="9"/>
      <c r="I27" s="1"/>
    </row>
    <row r="28" spans="1:9" ht="13.8" x14ac:dyDescent="0.25">
      <c r="A28" s="6">
        <v>9</v>
      </c>
      <c r="B28" s="32" t="s">
        <v>595</v>
      </c>
      <c r="C28" s="32" t="s">
        <v>596</v>
      </c>
      <c r="D28" s="32"/>
      <c r="E28" s="32" t="s">
        <v>34</v>
      </c>
      <c r="F28" s="15" t="s">
        <v>597</v>
      </c>
      <c r="G28" s="31"/>
      <c r="H28" s="9"/>
      <c r="I28" s="1"/>
    </row>
    <row r="29" spans="1:9" ht="13.8" x14ac:dyDescent="0.25">
      <c r="A29" s="6">
        <v>10</v>
      </c>
      <c r="B29" s="13"/>
      <c r="C29" s="14"/>
      <c r="D29" s="14"/>
      <c r="E29" s="15"/>
      <c r="F29" s="15"/>
      <c r="G29" s="15"/>
      <c r="H29" s="9" t="s">
        <v>281</v>
      </c>
      <c r="I29" s="1"/>
    </row>
    <row r="30" spans="1:9" ht="13.8" x14ac:dyDescent="0.25">
      <c r="A30" s="6">
        <v>11</v>
      </c>
      <c r="B30" s="13"/>
      <c r="C30" s="14"/>
      <c r="D30" s="14"/>
      <c r="E30" s="15"/>
      <c r="F30" s="15"/>
      <c r="G30" s="15"/>
      <c r="H30" s="9" t="s">
        <v>149</v>
      </c>
      <c r="I30" s="1"/>
    </row>
    <row r="31" spans="1:9" ht="13.8" x14ac:dyDescent="0.25">
      <c r="A31" s="6">
        <v>12</v>
      </c>
      <c r="B31" s="13"/>
      <c r="C31" s="14"/>
      <c r="D31" s="14"/>
      <c r="E31" s="15"/>
      <c r="F31" s="15"/>
      <c r="G31" s="15"/>
      <c r="H31" s="9" t="s">
        <v>150</v>
      </c>
      <c r="I31" s="1"/>
    </row>
    <row r="32" spans="1:9" ht="13.8" x14ac:dyDescent="0.25">
      <c r="A32" s="6">
        <v>13</v>
      </c>
      <c r="B32" s="13"/>
      <c r="C32" s="14"/>
      <c r="D32" s="14"/>
      <c r="E32" s="15"/>
      <c r="F32" s="15"/>
      <c r="G32" s="15"/>
      <c r="H32" s="9" t="s">
        <v>151</v>
      </c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47" priority="7" stopIfTrue="1">
      <formula>MOD(ROW(),2)=0</formula>
    </cfRule>
    <cfRule type="expression" dxfId="46" priority="8" stopIfTrue="1">
      <formula>MOD(ROW(),2)=1</formula>
    </cfRule>
  </conditionalFormatting>
  <conditionalFormatting sqref="C20">
    <cfRule type="expression" dxfId="45" priority="5" stopIfTrue="1">
      <formula>MOD(ROW(),2)=0</formula>
    </cfRule>
    <cfRule type="expression" dxfId="44" priority="6" stopIfTrue="1">
      <formula>MOD(ROW(),2)=1</formula>
    </cfRule>
  </conditionalFormatting>
  <conditionalFormatting sqref="F20:G40">
    <cfRule type="expression" dxfId="43" priority="1" stopIfTrue="1">
      <formula>MOD(ROW(),2)=0</formula>
    </cfRule>
    <cfRule type="expression" dxfId="4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"/>
  <dimension ref="A1:I44"/>
  <sheetViews>
    <sheetView showGridLines="0" zoomScaleNormal="100" workbookViewId="0">
      <selection activeCell="D32" sqref="D32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598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14024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6231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5296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935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0.44430975470621792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10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1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9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599</v>
      </c>
      <c r="C20" s="32" t="s">
        <v>600</v>
      </c>
      <c r="D20" s="32"/>
      <c r="E20" s="32" t="s">
        <v>45</v>
      </c>
      <c r="F20" s="12" t="s">
        <v>601</v>
      </c>
      <c r="G20" s="30"/>
      <c r="H20" s="9"/>
      <c r="I20" s="1"/>
    </row>
    <row r="21" spans="1:9" ht="13.8" x14ac:dyDescent="0.25">
      <c r="A21" s="6">
        <v>2</v>
      </c>
      <c r="B21" s="32" t="s">
        <v>602</v>
      </c>
      <c r="C21" s="32" t="s">
        <v>603</v>
      </c>
      <c r="D21" s="32" t="s">
        <v>33</v>
      </c>
      <c r="E21" s="32" t="s">
        <v>38</v>
      </c>
      <c r="F21" s="15" t="s">
        <v>604</v>
      </c>
      <c r="G21" s="31" t="s">
        <v>605</v>
      </c>
      <c r="H21" s="9"/>
      <c r="I21" s="1"/>
    </row>
    <row r="22" spans="1:9" ht="13.8" x14ac:dyDescent="0.25">
      <c r="A22" s="6">
        <v>3</v>
      </c>
      <c r="B22" s="32" t="s">
        <v>606</v>
      </c>
      <c r="C22" s="32" t="s">
        <v>607</v>
      </c>
      <c r="D22" s="32" t="s">
        <v>33</v>
      </c>
      <c r="E22" s="32" t="s">
        <v>45</v>
      </c>
      <c r="F22" s="15" t="s">
        <v>608</v>
      </c>
      <c r="G22" s="31"/>
      <c r="H22" s="9"/>
      <c r="I22" s="1"/>
    </row>
    <row r="23" spans="1:9" ht="13.8" x14ac:dyDescent="0.25">
      <c r="A23" s="6">
        <v>4</v>
      </c>
      <c r="B23" s="32" t="s">
        <v>609</v>
      </c>
      <c r="C23" s="32" t="s">
        <v>610</v>
      </c>
      <c r="D23" s="32"/>
      <c r="E23" s="32" t="s">
        <v>34</v>
      </c>
      <c r="F23" s="15" t="s">
        <v>121</v>
      </c>
      <c r="G23" s="31"/>
      <c r="H23" s="9"/>
      <c r="I23" s="1"/>
    </row>
    <row r="24" spans="1:9" ht="13.8" x14ac:dyDescent="0.25">
      <c r="A24" s="6">
        <v>5</v>
      </c>
      <c r="B24" s="32" t="s">
        <v>611</v>
      </c>
      <c r="C24" s="32" t="s">
        <v>612</v>
      </c>
      <c r="D24" s="32"/>
      <c r="E24" s="32" t="s">
        <v>30</v>
      </c>
      <c r="F24" s="15" t="s">
        <v>613</v>
      </c>
      <c r="G24" s="31"/>
      <c r="H24" s="9"/>
      <c r="I24" s="1"/>
    </row>
    <row r="25" spans="1:9" ht="13.8" x14ac:dyDescent="0.25">
      <c r="A25" s="6">
        <v>6</v>
      </c>
      <c r="B25" s="32" t="s">
        <v>614</v>
      </c>
      <c r="C25" s="32" t="s">
        <v>615</v>
      </c>
      <c r="D25" s="32"/>
      <c r="E25" s="32" t="s">
        <v>38</v>
      </c>
      <c r="F25" s="15" t="s">
        <v>616</v>
      </c>
      <c r="G25" s="31" t="s">
        <v>605</v>
      </c>
      <c r="H25" s="9"/>
      <c r="I25" s="1"/>
    </row>
    <row r="26" spans="1:9" ht="13.8" x14ac:dyDescent="0.25">
      <c r="A26" s="6">
        <v>7</v>
      </c>
      <c r="B26" s="32" t="s">
        <v>617</v>
      </c>
      <c r="C26" s="32" t="s">
        <v>618</v>
      </c>
      <c r="D26" s="32"/>
      <c r="E26" s="32" t="s">
        <v>38</v>
      </c>
      <c r="F26" s="15" t="s">
        <v>619</v>
      </c>
      <c r="G26" s="31" t="s">
        <v>605</v>
      </c>
      <c r="H26" s="9"/>
      <c r="I26" s="1"/>
    </row>
    <row r="27" spans="1:9" ht="13.8" x14ac:dyDescent="0.25">
      <c r="A27" s="6">
        <v>8</v>
      </c>
      <c r="B27" s="32" t="s">
        <v>620</v>
      </c>
      <c r="C27" s="32" t="s">
        <v>621</v>
      </c>
      <c r="D27" s="32" t="s">
        <v>33</v>
      </c>
      <c r="E27" s="32" t="s">
        <v>34</v>
      </c>
      <c r="F27" s="15" t="s">
        <v>622</v>
      </c>
      <c r="G27" s="31"/>
      <c r="H27" s="9"/>
      <c r="I27" s="1"/>
    </row>
    <row r="28" spans="1:9" ht="13.8" x14ac:dyDescent="0.25">
      <c r="A28" s="6">
        <v>9</v>
      </c>
      <c r="B28" s="32" t="s">
        <v>623</v>
      </c>
      <c r="C28" s="32" t="s">
        <v>624</v>
      </c>
      <c r="D28" s="32"/>
      <c r="E28" s="32" t="s">
        <v>45</v>
      </c>
      <c r="F28" s="15" t="s">
        <v>625</v>
      </c>
      <c r="G28" s="31"/>
      <c r="H28" s="9"/>
      <c r="I28" s="1"/>
    </row>
    <row r="29" spans="1:9" ht="13.8" x14ac:dyDescent="0.25">
      <c r="A29" s="6">
        <v>10</v>
      </c>
      <c r="B29" s="32" t="s">
        <v>626</v>
      </c>
      <c r="C29" s="32" t="s">
        <v>627</v>
      </c>
      <c r="D29" s="32"/>
      <c r="E29" s="32" t="s">
        <v>60</v>
      </c>
      <c r="F29" s="15" t="s">
        <v>628</v>
      </c>
      <c r="G29" s="31"/>
      <c r="H29" s="9"/>
      <c r="I29" s="1"/>
    </row>
    <row r="30" spans="1:9" ht="13.8" x14ac:dyDescent="0.25">
      <c r="A30" s="6">
        <v>11</v>
      </c>
      <c r="B30" s="32" t="s">
        <v>629</v>
      </c>
      <c r="C30" s="32" t="s">
        <v>630</v>
      </c>
      <c r="D30" s="32"/>
      <c r="E30" s="32" t="s">
        <v>60</v>
      </c>
      <c r="F30" s="15" t="s">
        <v>631</v>
      </c>
      <c r="G30" s="31"/>
      <c r="H30" s="9"/>
      <c r="I30" s="1"/>
    </row>
    <row r="31" spans="1:9" ht="13.8" x14ac:dyDescent="0.25">
      <c r="A31" s="6">
        <v>12</v>
      </c>
      <c r="B31" s="32" t="s">
        <v>632</v>
      </c>
      <c r="C31" s="32" t="s">
        <v>633</v>
      </c>
      <c r="D31" s="32"/>
      <c r="E31" s="32" t="s">
        <v>30</v>
      </c>
      <c r="F31" s="15" t="s">
        <v>634</v>
      </c>
      <c r="G31" s="31"/>
      <c r="H31" s="9"/>
      <c r="I31" s="1"/>
    </row>
    <row r="32" spans="1:9" ht="13.8" x14ac:dyDescent="0.25">
      <c r="A32" s="6">
        <v>13</v>
      </c>
      <c r="B32" s="32" t="s">
        <v>635</v>
      </c>
      <c r="C32" s="32" t="s">
        <v>636</v>
      </c>
      <c r="D32" s="32" t="s">
        <v>33</v>
      </c>
      <c r="E32" s="32" t="s">
        <v>60</v>
      </c>
      <c r="F32" s="15" t="s">
        <v>637</v>
      </c>
      <c r="G32" s="31"/>
      <c r="H32" s="9"/>
      <c r="I32" s="1"/>
    </row>
    <row r="33" spans="1:9" ht="13.8" x14ac:dyDescent="0.25">
      <c r="A33" s="6">
        <v>14</v>
      </c>
      <c r="B33" s="32" t="s">
        <v>638</v>
      </c>
      <c r="C33" s="32" t="s">
        <v>639</v>
      </c>
      <c r="D33" s="32"/>
      <c r="E33" s="32" t="s">
        <v>30</v>
      </c>
      <c r="F33" s="15" t="s">
        <v>640</v>
      </c>
      <c r="G33" s="31"/>
      <c r="H33" s="9"/>
      <c r="I33" s="1"/>
    </row>
    <row r="34" spans="1:9" ht="13.8" x14ac:dyDescent="0.25">
      <c r="A34" s="6">
        <v>15</v>
      </c>
      <c r="B34" s="32" t="s">
        <v>641</v>
      </c>
      <c r="C34" s="32" t="s">
        <v>642</v>
      </c>
      <c r="D34" s="32"/>
      <c r="E34" s="32" t="s">
        <v>34</v>
      </c>
      <c r="F34" s="15" t="s">
        <v>643</v>
      </c>
      <c r="G34" s="31"/>
      <c r="H34" s="9"/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41" priority="7" stopIfTrue="1">
      <formula>MOD(ROW(),2)=0</formula>
    </cfRule>
    <cfRule type="expression" dxfId="40" priority="8" stopIfTrue="1">
      <formula>MOD(ROW(),2)=1</formula>
    </cfRule>
  </conditionalFormatting>
  <conditionalFormatting sqref="C20">
    <cfRule type="expression" dxfId="39" priority="5" stopIfTrue="1">
      <formula>MOD(ROW(),2)=0</formula>
    </cfRule>
    <cfRule type="expression" dxfId="38" priority="6" stopIfTrue="1">
      <formula>MOD(ROW(),2)=1</formula>
    </cfRule>
  </conditionalFormatting>
  <conditionalFormatting sqref="F20:G40">
    <cfRule type="expression" dxfId="37" priority="1" stopIfTrue="1">
      <formula>MOD(ROW(),2)=0</formula>
    </cfRule>
    <cfRule type="expression" dxfId="3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"/>
  <dimension ref="A1:I44"/>
  <sheetViews>
    <sheetView showGridLines="0" zoomScaleNormal="100" workbookViewId="0">
      <selection activeCell="E43" sqref="E43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644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12884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7295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5774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1521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0.56620614715926731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10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3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7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645</v>
      </c>
      <c r="C20" s="32" t="s">
        <v>646</v>
      </c>
      <c r="D20" s="32"/>
      <c r="E20" s="32" t="s">
        <v>30</v>
      </c>
      <c r="F20" s="12" t="s">
        <v>647</v>
      </c>
      <c r="G20" s="30" t="s">
        <v>35</v>
      </c>
      <c r="H20" s="9"/>
      <c r="I20" s="1"/>
    </row>
    <row r="21" spans="1:9" ht="13.8" x14ac:dyDescent="0.25">
      <c r="A21" s="6">
        <v>2</v>
      </c>
      <c r="B21" s="32" t="s">
        <v>648</v>
      </c>
      <c r="C21" s="32" t="s">
        <v>649</v>
      </c>
      <c r="D21" s="32" t="s">
        <v>33</v>
      </c>
      <c r="E21" s="32" t="s">
        <v>34</v>
      </c>
      <c r="F21" s="15" t="s">
        <v>650</v>
      </c>
      <c r="G21" s="31"/>
      <c r="H21" s="9"/>
      <c r="I21" s="1"/>
    </row>
    <row r="22" spans="1:9" ht="13.8" x14ac:dyDescent="0.25">
      <c r="A22" s="6">
        <v>3</v>
      </c>
      <c r="B22" s="32" t="s">
        <v>651</v>
      </c>
      <c r="C22" s="32" t="s">
        <v>652</v>
      </c>
      <c r="D22" s="32"/>
      <c r="E22" s="32" t="s">
        <v>60</v>
      </c>
      <c r="F22" s="15" t="s">
        <v>653</v>
      </c>
      <c r="G22" s="31"/>
      <c r="H22" s="9"/>
      <c r="I22" s="1"/>
    </row>
    <row r="23" spans="1:9" ht="13.8" x14ac:dyDescent="0.25">
      <c r="A23" s="6">
        <v>4</v>
      </c>
      <c r="B23" s="32" t="s">
        <v>654</v>
      </c>
      <c r="C23" s="32" t="s">
        <v>655</v>
      </c>
      <c r="D23" s="32"/>
      <c r="E23" s="32" t="s">
        <v>30</v>
      </c>
      <c r="F23" s="15" t="s">
        <v>656</v>
      </c>
      <c r="G23" s="31" t="s">
        <v>35</v>
      </c>
      <c r="H23" s="9"/>
      <c r="I23" s="1"/>
    </row>
    <row r="24" spans="1:9" ht="13.8" x14ac:dyDescent="0.25">
      <c r="A24" s="6">
        <v>5</v>
      </c>
      <c r="B24" s="32" t="s">
        <v>657</v>
      </c>
      <c r="C24" s="32" t="s">
        <v>658</v>
      </c>
      <c r="D24" s="32"/>
      <c r="E24" s="32" t="s">
        <v>38</v>
      </c>
      <c r="F24" s="15" t="s">
        <v>95</v>
      </c>
      <c r="G24" s="31"/>
      <c r="H24" s="9"/>
      <c r="I24" s="1"/>
    </row>
    <row r="25" spans="1:9" ht="13.8" x14ac:dyDescent="0.25">
      <c r="A25" s="6">
        <v>6</v>
      </c>
      <c r="B25" s="32" t="s">
        <v>659</v>
      </c>
      <c r="C25" s="32" t="s">
        <v>660</v>
      </c>
      <c r="D25" s="32"/>
      <c r="E25" s="32" t="s">
        <v>60</v>
      </c>
      <c r="F25" s="15" t="s">
        <v>661</v>
      </c>
      <c r="G25" s="31"/>
      <c r="H25" s="9"/>
      <c r="I25" s="1"/>
    </row>
    <row r="26" spans="1:9" ht="13.8" x14ac:dyDescent="0.25">
      <c r="A26" s="6">
        <v>7</v>
      </c>
      <c r="B26" s="32" t="s">
        <v>662</v>
      </c>
      <c r="C26" s="32" t="s">
        <v>448</v>
      </c>
      <c r="D26" s="32"/>
      <c r="E26" s="32" t="s">
        <v>60</v>
      </c>
      <c r="F26" s="15" t="s">
        <v>663</v>
      </c>
      <c r="G26" s="31"/>
      <c r="H26" s="9"/>
      <c r="I26" s="1"/>
    </row>
    <row r="27" spans="1:9" ht="13.8" x14ac:dyDescent="0.25">
      <c r="A27" s="6">
        <v>8</v>
      </c>
      <c r="B27" s="32" t="s">
        <v>664</v>
      </c>
      <c r="C27" s="32" t="s">
        <v>665</v>
      </c>
      <c r="D27" s="32"/>
      <c r="E27" s="32" t="s">
        <v>34</v>
      </c>
      <c r="F27" s="15" t="s">
        <v>666</v>
      </c>
      <c r="G27" s="31"/>
      <c r="H27" s="9"/>
      <c r="I27" s="1"/>
    </row>
    <row r="28" spans="1:9" ht="13.8" x14ac:dyDescent="0.25">
      <c r="A28" s="6">
        <v>9</v>
      </c>
      <c r="B28" s="32" t="s">
        <v>667</v>
      </c>
      <c r="C28" s="32" t="s">
        <v>668</v>
      </c>
      <c r="D28" s="32" t="s">
        <v>33</v>
      </c>
      <c r="E28" s="32" t="s">
        <v>38</v>
      </c>
      <c r="F28" s="15" t="s">
        <v>669</v>
      </c>
      <c r="G28" s="31"/>
      <c r="H28" s="9"/>
      <c r="I28" s="1"/>
    </row>
    <row r="29" spans="1:9" ht="13.8" x14ac:dyDescent="0.25">
      <c r="A29" s="6">
        <v>10</v>
      </c>
      <c r="B29" s="32" t="s">
        <v>670</v>
      </c>
      <c r="C29" s="32" t="s">
        <v>671</v>
      </c>
      <c r="D29" s="32"/>
      <c r="E29" s="32" t="s">
        <v>30</v>
      </c>
      <c r="F29" s="15" t="s">
        <v>672</v>
      </c>
      <c r="G29" s="31" t="s">
        <v>35</v>
      </c>
      <c r="H29" s="9"/>
      <c r="I29" s="1"/>
    </row>
    <row r="30" spans="1:9" ht="13.8" x14ac:dyDescent="0.25">
      <c r="A30" s="6">
        <v>11</v>
      </c>
      <c r="B30" s="32" t="s">
        <v>673</v>
      </c>
      <c r="C30" s="32" t="s">
        <v>674</v>
      </c>
      <c r="D30" s="32" t="s">
        <v>33</v>
      </c>
      <c r="E30" s="32" t="s">
        <v>45</v>
      </c>
      <c r="F30" s="15" t="s">
        <v>675</v>
      </c>
      <c r="G30" s="31"/>
      <c r="H30" s="9"/>
      <c r="I30" s="1"/>
    </row>
    <row r="31" spans="1:9" ht="13.8" x14ac:dyDescent="0.25">
      <c r="A31" s="6">
        <v>12</v>
      </c>
      <c r="B31" s="32" t="s">
        <v>676</v>
      </c>
      <c r="C31" s="32" t="s">
        <v>677</v>
      </c>
      <c r="D31" s="32"/>
      <c r="E31" s="32" t="s">
        <v>34</v>
      </c>
      <c r="F31" s="15" t="s">
        <v>678</v>
      </c>
      <c r="G31" s="31"/>
      <c r="H31" s="9"/>
      <c r="I31" s="1"/>
    </row>
    <row r="32" spans="1:9" ht="13.8" x14ac:dyDescent="0.25">
      <c r="A32" s="6">
        <v>13</v>
      </c>
      <c r="B32" s="32" t="s">
        <v>679</v>
      </c>
      <c r="C32" s="32" t="s">
        <v>680</v>
      </c>
      <c r="D32" s="32"/>
      <c r="E32" s="32" t="s">
        <v>38</v>
      </c>
      <c r="F32" s="15" t="s">
        <v>681</v>
      </c>
      <c r="G32" s="31"/>
      <c r="H32" s="9"/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35" priority="7" stopIfTrue="1">
      <formula>MOD(ROW(),2)=0</formula>
    </cfRule>
    <cfRule type="expression" dxfId="34" priority="8" stopIfTrue="1">
      <formula>MOD(ROW(),2)=1</formula>
    </cfRule>
  </conditionalFormatting>
  <conditionalFormatting sqref="C20">
    <cfRule type="expression" dxfId="33" priority="5" stopIfTrue="1">
      <formula>MOD(ROW(),2)=0</formula>
    </cfRule>
    <cfRule type="expression" dxfId="32" priority="6" stopIfTrue="1">
      <formula>MOD(ROW(),2)=1</formula>
    </cfRule>
  </conditionalFormatting>
  <conditionalFormatting sqref="F20:G40">
    <cfRule type="expression" dxfId="31" priority="1" stopIfTrue="1">
      <formula>MOD(ROW(),2)=0</formula>
    </cfRule>
    <cfRule type="expression" dxfId="3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"/>
  <dimension ref="A1:I44"/>
  <sheetViews>
    <sheetView showGridLines="0" zoomScaleNormal="100" workbookViewId="0">
      <selection activeCell="G15" sqref="G15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682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118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9420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4284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3547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737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0.45477707006369428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v>11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1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10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683</v>
      </c>
      <c r="C20" s="32" t="s">
        <v>684</v>
      </c>
      <c r="D20" s="32"/>
      <c r="E20" s="32" t="s">
        <v>60</v>
      </c>
      <c r="F20" s="12" t="s">
        <v>685</v>
      </c>
      <c r="G20" s="30"/>
      <c r="H20" s="9"/>
      <c r="I20" s="1"/>
    </row>
    <row r="21" spans="1:9" ht="13.8" x14ac:dyDescent="0.25">
      <c r="A21" s="6">
        <v>2</v>
      </c>
      <c r="B21" s="32" t="s">
        <v>686</v>
      </c>
      <c r="C21" s="32" t="s">
        <v>687</v>
      </c>
      <c r="D21" s="32" t="s">
        <v>33</v>
      </c>
      <c r="E21" s="32" t="s">
        <v>34</v>
      </c>
      <c r="F21" s="15" t="s">
        <v>873</v>
      </c>
      <c r="G21" s="31"/>
      <c r="H21" s="9"/>
      <c r="I21" s="1"/>
    </row>
    <row r="22" spans="1:9" ht="13.8" x14ac:dyDescent="0.25">
      <c r="A22" s="6">
        <v>3</v>
      </c>
      <c r="B22" s="32" t="s">
        <v>686</v>
      </c>
      <c r="C22" s="32" t="s">
        <v>688</v>
      </c>
      <c r="D22" s="32"/>
      <c r="E22" s="32" t="s">
        <v>34</v>
      </c>
      <c r="F22" s="15" t="s">
        <v>689</v>
      </c>
      <c r="G22" s="31"/>
      <c r="H22" s="9"/>
      <c r="I22" s="1"/>
    </row>
    <row r="23" spans="1:9" ht="13.8" x14ac:dyDescent="0.25">
      <c r="A23" s="6">
        <v>4</v>
      </c>
      <c r="B23" s="32" t="s">
        <v>690</v>
      </c>
      <c r="C23" s="32" t="s">
        <v>691</v>
      </c>
      <c r="D23" s="32" t="s">
        <v>33</v>
      </c>
      <c r="E23" s="32" t="s">
        <v>692</v>
      </c>
      <c r="F23" s="15" t="s">
        <v>693</v>
      </c>
      <c r="G23" s="31"/>
      <c r="H23" s="9"/>
      <c r="I23" s="1"/>
    </row>
    <row r="24" spans="1:9" ht="13.8" x14ac:dyDescent="0.25">
      <c r="A24" s="6">
        <v>5</v>
      </c>
      <c r="B24" s="32" t="s">
        <v>694</v>
      </c>
      <c r="C24" s="32" t="s">
        <v>695</v>
      </c>
      <c r="D24" s="32" t="s">
        <v>33</v>
      </c>
      <c r="E24" s="32" t="s">
        <v>45</v>
      </c>
      <c r="F24" s="15" t="s">
        <v>555</v>
      </c>
      <c r="G24" s="31"/>
      <c r="H24" s="9"/>
      <c r="I24" s="1"/>
    </row>
    <row r="25" spans="1:9" ht="13.8" x14ac:dyDescent="0.25">
      <c r="A25" s="6">
        <v>6</v>
      </c>
      <c r="B25" s="32" t="s">
        <v>696</v>
      </c>
      <c r="C25" s="32" t="s">
        <v>697</v>
      </c>
      <c r="D25" s="32"/>
      <c r="E25" s="32" t="s">
        <v>45</v>
      </c>
      <c r="F25" s="15" t="s">
        <v>874</v>
      </c>
      <c r="G25" s="31"/>
      <c r="H25" s="9"/>
      <c r="I25" s="1"/>
    </row>
    <row r="26" spans="1:9" ht="13.8" x14ac:dyDescent="0.25">
      <c r="A26" s="6">
        <v>7</v>
      </c>
      <c r="B26" s="32" t="s">
        <v>698</v>
      </c>
      <c r="C26" s="32" t="s">
        <v>699</v>
      </c>
      <c r="D26" s="32"/>
      <c r="E26" s="32" t="s">
        <v>38</v>
      </c>
      <c r="F26" s="15" t="s">
        <v>700</v>
      </c>
      <c r="G26" s="31"/>
      <c r="H26" s="9"/>
      <c r="I26" s="1"/>
    </row>
    <row r="27" spans="1:9" ht="13.8" x14ac:dyDescent="0.25">
      <c r="A27" s="6">
        <v>8</v>
      </c>
      <c r="B27" s="32" t="s">
        <v>701</v>
      </c>
      <c r="C27" s="32" t="s">
        <v>702</v>
      </c>
      <c r="D27" s="32" t="s">
        <v>33</v>
      </c>
      <c r="E27" s="32" t="s">
        <v>38</v>
      </c>
      <c r="F27" s="15" t="s">
        <v>703</v>
      </c>
      <c r="G27" s="31"/>
      <c r="H27" s="9"/>
      <c r="I27" s="1"/>
    </row>
    <row r="28" spans="1:9" ht="13.8" x14ac:dyDescent="0.25">
      <c r="A28" s="6">
        <v>9</v>
      </c>
      <c r="B28" s="32" t="s">
        <v>704</v>
      </c>
      <c r="C28" s="32" t="s">
        <v>705</v>
      </c>
      <c r="D28" s="32"/>
      <c r="E28" s="32" t="s">
        <v>30</v>
      </c>
      <c r="F28" s="15" t="s">
        <v>706</v>
      </c>
      <c r="G28" s="31" t="s">
        <v>35</v>
      </c>
      <c r="H28" s="9"/>
      <c r="I28" s="1"/>
    </row>
    <row r="29" spans="1:9" ht="13.8" x14ac:dyDescent="0.25">
      <c r="A29" s="6">
        <v>10</v>
      </c>
      <c r="B29" s="32" t="s">
        <v>707</v>
      </c>
      <c r="C29" s="32" t="s">
        <v>708</v>
      </c>
      <c r="D29" s="32"/>
      <c r="E29" s="32" t="s">
        <v>30</v>
      </c>
      <c r="F29" s="15" t="s">
        <v>709</v>
      </c>
      <c r="G29" s="31" t="s">
        <v>35</v>
      </c>
      <c r="H29" s="9"/>
      <c r="I29" s="1"/>
    </row>
    <row r="30" spans="1:9" ht="13.8" x14ac:dyDescent="0.25">
      <c r="A30" s="6">
        <v>11</v>
      </c>
      <c r="B30" s="32" t="s">
        <v>710</v>
      </c>
      <c r="C30" s="32" t="s">
        <v>711</v>
      </c>
      <c r="D30" s="32"/>
      <c r="E30" s="32" t="s">
        <v>60</v>
      </c>
      <c r="F30" s="15" t="s">
        <v>712</v>
      </c>
      <c r="G30" s="31"/>
      <c r="H30" s="9"/>
      <c r="I30" s="1"/>
    </row>
    <row r="31" spans="1:9" ht="13.8" x14ac:dyDescent="0.25">
      <c r="A31" s="6">
        <v>12</v>
      </c>
      <c r="B31" s="13"/>
      <c r="C31" s="14"/>
      <c r="D31" s="14"/>
      <c r="E31" s="15"/>
      <c r="F31" s="15"/>
      <c r="G31" s="15"/>
      <c r="H31" s="9" t="s">
        <v>150</v>
      </c>
      <c r="I31" s="1"/>
    </row>
    <row r="32" spans="1:9" ht="13.8" x14ac:dyDescent="0.25">
      <c r="A32" s="6">
        <v>13</v>
      </c>
      <c r="B32" s="13"/>
      <c r="C32" s="14"/>
      <c r="D32" s="14"/>
      <c r="E32" s="15"/>
      <c r="F32" s="15"/>
      <c r="G32" s="15"/>
      <c r="H32" s="9" t="s">
        <v>151</v>
      </c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29" priority="7" stopIfTrue="1">
      <formula>MOD(ROW(),2)=0</formula>
    </cfRule>
    <cfRule type="expression" dxfId="28" priority="8" stopIfTrue="1">
      <formula>MOD(ROW(),2)=1</formula>
    </cfRule>
  </conditionalFormatting>
  <conditionalFormatting sqref="C20">
    <cfRule type="expression" dxfId="27" priority="5" stopIfTrue="1">
      <formula>MOD(ROW(),2)=0</formula>
    </cfRule>
    <cfRule type="expression" dxfId="26" priority="6" stopIfTrue="1">
      <formula>MOD(ROW(),2)=1</formula>
    </cfRule>
  </conditionalFormatting>
  <conditionalFormatting sqref="F20:G40">
    <cfRule type="expression" dxfId="25" priority="1" stopIfTrue="1">
      <formula>MOD(ROW(),2)=0</formula>
    </cfRule>
    <cfRule type="expression" dxfId="2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I44"/>
  <sheetViews>
    <sheetView showGridLines="0" zoomScaleNormal="100" workbookViewId="0">
      <selection activeCell="D45" sqref="D45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713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12487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6715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5377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1338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0.53775926964042609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8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2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6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0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714</v>
      </c>
      <c r="C20" s="32" t="s">
        <v>715</v>
      </c>
      <c r="D20" s="32"/>
      <c r="E20" s="32" t="s">
        <v>38</v>
      </c>
      <c r="F20" s="12" t="s">
        <v>716</v>
      </c>
      <c r="G20" s="30"/>
      <c r="H20" s="9"/>
      <c r="I20" s="1"/>
    </row>
    <row r="21" spans="1:9" ht="13.8" x14ac:dyDescent="0.25">
      <c r="A21" s="6">
        <v>2</v>
      </c>
      <c r="B21" s="32" t="s">
        <v>717</v>
      </c>
      <c r="C21" s="32" t="s">
        <v>718</v>
      </c>
      <c r="D21" s="32"/>
      <c r="E21" s="32" t="s">
        <v>60</v>
      </c>
      <c r="F21" s="15" t="s">
        <v>719</v>
      </c>
      <c r="G21" s="31"/>
      <c r="H21" s="9"/>
      <c r="I21" s="1"/>
    </row>
    <row r="22" spans="1:9" ht="13.8" x14ac:dyDescent="0.25">
      <c r="A22" s="6">
        <v>3</v>
      </c>
      <c r="B22" s="32" t="s">
        <v>720</v>
      </c>
      <c r="C22" s="32" t="s">
        <v>448</v>
      </c>
      <c r="D22" s="32"/>
      <c r="E22" s="32" t="s">
        <v>34</v>
      </c>
      <c r="F22" s="15" t="s">
        <v>721</v>
      </c>
      <c r="G22" s="31"/>
      <c r="H22" s="9"/>
      <c r="I22" s="1"/>
    </row>
    <row r="23" spans="1:9" ht="13.8" x14ac:dyDescent="0.25">
      <c r="A23" s="6">
        <v>4</v>
      </c>
      <c r="B23" s="32" t="s">
        <v>722</v>
      </c>
      <c r="C23" s="32" t="s">
        <v>723</v>
      </c>
      <c r="D23" s="32" t="s">
        <v>33</v>
      </c>
      <c r="E23" s="32" t="s">
        <v>38</v>
      </c>
      <c r="F23" s="15" t="s">
        <v>724</v>
      </c>
      <c r="G23" s="31"/>
      <c r="H23" s="9"/>
      <c r="I23" s="1"/>
    </row>
    <row r="24" spans="1:9" ht="13.8" x14ac:dyDescent="0.25">
      <c r="A24" s="6">
        <v>5</v>
      </c>
      <c r="B24" s="32" t="s">
        <v>725</v>
      </c>
      <c r="C24" s="32" t="s">
        <v>726</v>
      </c>
      <c r="D24" s="32" t="s">
        <v>33</v>
      </c>
      <c r="E24" s="32" t="s">
        <v>34</v>
      </c>
      <c r="F24" s="15" t="s">
        <v>727</v>
      </c>
      <c r="G24" s="31"/>
      <c r="H24" s="9"/>
      <c r="I24" s="1"/>
    </row>
    <row r="25" spans="1:9" ht="13.8" x14ac:dyDescent="0.25">
      <c r="A25" s="6">
        <v>6</v>
      </c>
      <c r="B25" s="32" t="s">
        <v>728</v>
      </c>
      <c r="C25" s="32" t="s">
        <v>729</v>
      </c>
      <c r="D25" s="32"/>
      <c r="E25" s="32" t="s">
        <v>30</v>
      </c>
      <c r="F25" s="15" t="s">
        <v>730</v>
      </c>
      <c r="G25" s="31" t="s">
        <v>35</v>
      </c>
      <c r="H25" s="9"/>
      <c r="I25" s="1"/>
    </row>
    <row r="26" spans="1:9" ht="13.8" x14ac:dyDescent="0.25">
      <c r="A26" s="6">
        <v>7</v>
      </c>
      <c r="B26" s="32" t="s">
        <v>731</v>
      </c>
      <c r="C26" s="32" t="s">
        <v>732</v>
      </c>
      <c r="D26" s="32" t="s">
        <v>33</v>
      </c>
      <c r="E26" s="32" t="s">
        <v>30</v>
      </c>
      <c r="F26" s="15" t="s">
        <v>733</v>
      </c>
      <c r="G26" s="31" t="s">
        <v>35</v>
      </c>
      <c r="H26" s="9"/>
      <c r="I26" s="1"/>
    </row>
    <row r="27" spans="1:9" ht="13.8" x14ac:dyDescent="0.25">
      <c r="A27" s="6">
        <v>8</v>
      </c>
      <c r="B27" s="32" t="s">
        <v>734</v>
      </c>
      <c r="C27" s="32" t="s">
        <v>735</v>
      </c>
      <c r="D27" s="32" t="s">
        <v>33</v>
      </c>
      <c r="E27" s="32" t="s">
        <v>45</v>
      </c>
      <c r="F27" s="15" t="s">
        <v>736</v>
      </c>
      <c r="G27" s="31"/>
      <c r="H27" s="9"/>
      <c r="I27" s="1"/>
    </row>
    <row r="28" spans="1:9" ht="13.8" x14ac:dyDescent="0.25">
      <c r="A28" s="6">
        <v>9</v>
      </c>
      <c r="B28" s="32" t="s">
        <v>737</v>
      </c>
      <c r="C28" s="32" t="s">
        <v>738</v>
      </c>
      <c r="D28" s="32"/>
      <c r="E28" s="32" t="s">
        <v>60</v>
      </c>
      <c r="F28" s="15" t="s">
        <v>280</v>
      </c>
      <c r="G28" s="31"/>
      <c r="H28" s="9"/>
      <c r="I28" s="1"/>
    </row>
    <row r="29" spans="1:9" ht="13.8" x14ac:dyDescent="0.25">
      <c r="A29" s="6">
        <v>10</v>
      </c>
      <c r="B29" s="32" t="s">
        <v>739</v>
      </c>
      <c r="C29" s="32" t="s">
        <v>740</v>
      </c>
      <c r="D29" s="32"/>
      <c r="E29" s="32" t="s">
        <v>60</v>
      </c>
      <c r="F29" s="15" t="s">
        <v>741</v>
      </c>
      <c r="G29" s="31"/>
      <c r="H29" s="9"/>
      <c r="I29" s="1"/>
    </row>
    <row r="30" spans="1:9" ht="13.8" x14ac:dyDescent="0.25">
      <c r="A30" s="6">
        <v>11</v>
      </c>
      <c r="B30" s="32" t="s">
        <v>742</v>
      </c>
      <c r="C30" s="32" t="s">
        <v>358</v>
      </c>
      <c r="D30" s="32"/>
      <c r="E30" s="32" t="s">
        <v>45</v>
      </c>
      <c r="F30" s="15" t="s">
        <v>743</v>
      </c>
      <c r="G30" s="31"/>
      <c r="H30" s="9"/>
      <c r="I30" s="1"/>
    </row>
    <row r="31" spans="1:9" ht="13.8" x14ac:dyDescent="0.25">
      <c r="A31" s="6">
        <v>12</v>
      </c>
      <c r="B31" s="32" t="s">
        <v>108</v>
      </c>
      <c r="C31" s="32" t="s">
        <v>744</v>
      </c>
      <c r="D31" s="32"/>
      <c r="E31" s="32" t="s">
        <v>38</v>
      </c>
      <c r="F31" s="15" t="s">
        <v>745</v>
      </c>
      <c r="G31" s="31"/>
      <c r="H31" s="9"/>
      <c r="I31" s="1"/>
    </row>
    <row r="32" spans="1:9" ht="13.8" x14ac:dyDescent="0.25">
      <c r="A32" s="6">
        <v>13</v>
      </c>
      <c r="B32" s="32" t="s">
        <v>746</v>
      </c>
      <c r="C32" s="32" t="s">
        <v>747</v>
      </c>
      <c r="D32" s="32" t="s">
        <v>33</v>
      </c>
      <c r="E32" s="32" t="s">
        <v>30</v>
      </c>
      <c r="F32" s="15" t="s">
        <v>748</v>
      </c>
      <c r="G32" s="31" t="s">
        <v>35</v>
      </c>
      <c r="H32" s="9"/>
      <c r="I32" s="1"/>
    </row>
    <row r="33" spans="1:9" ht="13.8" x14ac:dyDescent="0.25">
      <c r="A33" s="6">
        <v>14</v>
      </c>
      <c r="B33" s="32" t="s">
        <v>749</v>
      </c>
      <c r="C33" s="32" t="s">
        <v>750</v>
      </c>
      <c r="D33" s="32"/>
      <c r="E33" s="32" t="s">
        <v>34</v>
      </c>
      <c r="F33" s="15" t="s">
        <v>751</v>
      </c>
      <c r="G33" s="31"/>
      <c r="H33" s="9"/>
      <c r="I33" s="1"/>
    </row>
    <row r="34" spans="1:9" ht="13.8" x14ac:dyDescent="0.25">
      <c r="A34" s="6">
        <v>15</v>
      </c>
      <c r="B34" s="32" t="s">
        <v>752</v>
      </c>
      <c r="C34" s="32" t="s">
        <v>753</v>
      </c>
      <c r="D34" s="32" t="s">
        <v>33</v>
      </c>
      <c r="E34" s="32" t="s">
        <v>45</v>
      </c>
      <c r="F34" s="15" t="s">
        <v>754</v>
      </c>
      <c r="G34" s="31"/>
      <c r="H34" s="9"/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23" priority="7" stopIfTrue="1">
      <formula>MOD(ROW(),2)=0</formula>
    </cfRule>
    <cfRule type="expression" dxfId="22" priority="8" stopIfTrue="1">
      <formula>MOD(ROW(),2)=1</formula>
    </cfRule>
  </conditionalFormatting>
  <conditionalFormatting sqref="C20">
    <cfRule type="expression" dxfId="21" priority="5" stopIfTrue="1">
      <formula>MOD(ROW(),2)=0</formula>
    </cfRule>
    <cfRule type="expression" dxfId="20" priority="6" stopIfTrue="1">
      <formula>MOD(ROW(),2)=1</formula>
    </cfRule>
  </conditionalFormatting>
  <conditionalFormatting sqref="F20:G40">
    <cfRule type="expression" dxfId="19" priority="1" stopIfTrue="1">
      <formula>MOD(ROW(),2)=0</formula>
    </cfRule>
    <cfRule type="expression" dxfId="1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"/>
  <dimension ref="A1:I44"/>
  <sheetViews>
    <sheetView showGridLines="0" zoomScaleNormal="100" workbookViewId="0">
      <selection activeCell="D42" sqref="D41:D42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755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13706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5562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4348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1214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0.40580767547059682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10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5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5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756</v>
      </c>
      <c r="C20" s="32" t="s">
        <v>757</v>
      </c>
      <c r="D20" s="32"/>
      <c r="E20" s="32" t="s">
        <v>38</v>
      </c>
      <c r="F20" s="12" t="s">
        <v>758</v>
      </c>
      <c r="G20" s="30"/>
      <c r="H20" s="9"/>
      <c r="I20" s="1"/>
    </row>
    <row r="21" spans="1:9" ht="13.8" x14ac:dyDescent="0.25">
      <c r="A21" s="6">
        <v>2</v>
      </c>
      <c r="B21" s="32" t="s">
        <v>759</v>
      </c>
      <c r="C21" s="32" t="s">
        <v>760</v>
      </c>
      <c r="D21" s="32" t="s">
        <v>33</v>
      </c>
      <c r="E21" s="32" t="s">
        <v>30</v>
      </c>
      <c r="F21" s="15" t="s">
        <v>761</v>
      </c>
      <c r="G21" s="31" t="s">
        <v>35</v>
      </c>
      <c r="H21" s="9"/>
      <c r="I21" s="1"/>
    </row>
    <row r="22" spans="1:9" ht="13.8" x14ac:dyDescent="0.25">
      <c r="A22" s="6">
        <v>3</v>
      </c>
      <c r="B22" s="32" t="s">
        <v>216</v>
      </c>
      <c r="C22" s="32" t="s">
        <v>762</v>
      </c>
      <c r="D22" s="32" t="s">
        <v>33</v>
      </c>
      <c r="E22" s="32" t="s">
        <v>34</v>
      </c>
      <c r="F22" s="15" t="s">
        <v>763</v>
      </c>
      <c r="G22" s="31"/>
      <c r="H22" s="9"/>
      <c r="I22" s="1"/>
    </row>
    <row r="23" spans="1:9" ht="13.8" x14ac:dyDescent="0.25">
      <c r="A23" s="6">
        <v>4</v>
      </c>
      <c r="B23" s="32" t="s">
        <v>93</v>
      </c>
      <c r="C23" s="32" t="s">
        <v>764</v>
      </c>
      <c r="D23" s="32"/>
      <c r="E23" s="32" t="s">
        <v>34</v>
      </c>
      <c r="F23" s="15" t="s">
        <v>765</v>
      </c>
      <c r="G23" s="31"/>
      <c r="H23" s="9"/>
      <c r="I23" s="1"/>
    </row>
    <row r="24" spans="1:9" ht="13.8" x14ac:dyDescent="0.25">
      <c r="A24" s="6">
        <v>5</v>
      </c>
      <c r="B24" s="32" t="s">
        <v>766</v>
      </c>
      <c r="C24" s="32" t="s">
        <v>767</v>
      </c>
      <c r="D24" s="32"/>
      <c r="E24" s="32" t="s">
        <v>38</v>
      </c>
      <c r="F24" s="15" t="s">
        <v>768</v>
      </c>
      <c r="G24" s="31"/>
      <c r="H24" s="9"/>
      <c r="I24" s="1"/>
    </row>
    <row r="25" spans="1:9" ht="13.8" x14ac:dyDescent="0.25">
      <c r="A25" s="6">
        <v>6</v>
      </c>
      <c r="B25" s="32" t="s">
        <v>769</v>
      </c>
      <c r="C25" s="32" t="s">
        <v>770</v>
      </c>
      <c r="D25" s="32" t="s">
        <v>33</v>
      </c>
      <c r="E25" s="32" t="s">
        <v>45</v>
      </c>
      <c r="F25" s="15" t="s">
        <v>771</v>
      </c>
      <c r="G25" s="31"/>
      <c r="H25" s="9"/>
      <c r="I25" s="1"/>
    </row>
    <row r="26" spans="1:9" ht="13.8" x14ac:dyDescent="0.25">
      <c r="A26" s="6">
        <v>7</v>
      </c>
      <c r="B26" s="32" t="s">
        <v>772</v>
      </c>
      <c r="C26" s="32" t="s">
        <v>773</v>
      </c>
      <c r="D26" s="32"/>
      <c r="E26" s="32" t="s">
        <v>34</v>
      </c>
      <c r="F26" s="15" t="s">
        <v>763</v>
      </c>
      <c r="G26" s="31"/>
      <c r="H26" s="9"/>
      <c r="I26" s="1"/>
    </row>
    <row r="27" spans="1:9" ht="13.8" x14ac:dyDescent="0.25">
      <c r="A27" s="6">
        <v>8</v>
      </c>
      <c r="B27" s="32" t="s">
        <v>774</v>
      </c>
      <c r="C27" s="32" t="s">
        <v>775</v>
      </c>
      <c r="D27" s="32"/>
      <c r="E27" s="32" t="s">
        <v>45</v>
      </c>
      <c r="F27" s="15" t="s">
        <v>678</v>
      </c>
      <c r="G27" s="31"/>
      <c r="H27" s="9"/>
      <c r="I27" s="1"/>
    </row>
    <row r="28" spans="1:9" ht="13.8" x14ac:dyDescent="0.25">
      <c r="A28" s="6">
        <v>9</v>
      </c>
      <c r="B28" s="32" t="s">
        <v>776</v>
      </c>
      <c r="C28" s="32" t="s">
        <v>777</v>
      </c>
      <c r="D28" s="32"/>
      <c r="E28" s="32" t="s">
        <v>60</v>
      </c>
      <c r="F28" s="15" t="s">
        <v>778</v>
      </c>
      <c r="G28" s="31"/>
      <c r="H28" s="9"/>
      <c r="I28" s="1"/>
    </row>
    <row r="29" spans="1:9" ht="13.8" x14ac:dyDescent="0.25">
      <c r="A29" s="6">
        <v>10</v>
      </c>
      <c r="B29" s="32" t="s">
        <v>779</v>
      </c>
      <c r="C29" s="32" t="s">
        <v>780</v>
      </c>
      <c r="D29" s="32"/>
      <c r="E29" s="32" t="s">
        <v>60</v>
      </c>
      <c r="F29" s="15" t="s">
        <v>781</v>
      </c>
      <c r="G29" s="31"/>
      <c r="H29" s="9"/>
      <c r="I29" s="1"/>
    </row>
    <row r="30" spans="1:9" ht="13.8" x14ac:dyDescent="0.25">
      <c r="A30" s="6">
        <v>11</v>
      </c>
      <c r="B30" s="32" t="s">
        <v>782</v>
      </c>
      <c r="C30" s="32" t="s">
        <v>783</v>
      </c>
      <c r="D30" s="32"/>
      <c r="E30" s="32" t="s">
        <v>45</v>
      </c>
      <c r="F30" s="15" t="s">
        <v>784</v>
      </c>
      <c r="G30" s="31"/>
      <c r="H30" s="9"/>
      <c r="I30" s="1"/>
    </row>
    <row r="31" spans="1:9" ht="13.8" x14ac:dyDescent="0.25">
      <c r="A31" s="6">
        <v>12</v>
      </c>
      <c r="B31" s="32" t="s">
        <v>785</v>
      </c>
      <c r="C31" s="32" t="s">
        <v>786</v>
      </c>
      <c r="D31" s="32" t="s">
        <v>33</v>
      </c>
      <c r="E31" s="32" t="s">
        <v>60</v>
      </c>
      <c r="F31" s="15" t="s">
        <v>787</v>
      </c>
      <c r="G31" s="31"/>
      <c r="H31" s="9"/>
      <c r="I31" s="1"/>
    </row>
    <row r="32" spans="1:9" ht="13.8" x14ac:dyDescent="0.25">
      <c r="A32" s="6">
        <v>13</v>
      </c>
      <c r="B32" s="32" t="s">
        <v>788</v>
      </c>
      <c r="C32" s="32" t="s">
        <v>789</v>
      </c>
      <c r="D32" s="32"/>
      <c r="E32" s="32" t="s">
        <v>30</v>
      </c>
      <c r="F32" s="15" t="s">
        <v>790</v>
      </c>
      <c r="G32" s="31" t="s">
        <v>35</v>
      </c>
      <c r="H32" s="9"/>
      <c r="I32" s="1"/>
    </row>
    <row r="33" spans="1:9" ht="13.8" x14ac:dyDescent="0.25">
      <c r="A33" s="6">
        <v>14</v>
      </c>
      <c r="B33" s="32" t="s">
        <v>791</v>
      </c>
      <c r="C33" s="32" t="s">
        <v>792</v>
      </c>
      <c r="D33" s="32"/>
      <c r="E33" s="32" t="s">
        <v>30</v>
      </c>
      <c r="F33" s="15" t="s">
        <v>793</v>
      </c>
      <c r="G33" s="31" t="s">
        <v>35</v>
      </c>
      <c r="H33" s="9"/>
      <c r="I33" s="1"/>
    </row>
    <row r="34" spans="1:9" ht="13.8" x14ac:dyDescent="0.25">
      <c r="A34" s="6">
        <v>15</v>
      </c>
      <c r="B34" s="32" t="s">
        <v>794</v>
      </c>
      <c r="C34" s="32" t="s">
        <v>795</v>
      </c>
      <c r="D34" s="32"/>
      <c r="E34" s="32" t="s">
        <v>38</v>
      </c>
      <c r="F34" s="15" t="s">
        <v>796</v>
      </c>
      <c r="G34" s="31"/>
      <c r="H34" s="9"/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17" priority="7" stopIfTrue="1">
      <formula>MOD(ROW(),2)=0</formula>
    </cfRule>
    <cfRule type="expression" dxfId="16" priority="8" stopIfTrue="1">
      <formula>MOD(ROW(),2)=1</formula>
    </cfRule>
  </conditionalFormatting>
  <conditionalFormatting sqref="C20">
    <cfRule type="expression" dxfId="15" priority="5" stopIfTrue="1">
      <formula>MOD(ROW(),2)=0</formula>
    </cfRule>
    <cfRule type="expression" dxfId="14" priority="6" stopIfTrue="1">
      <formula>MOD(ROW(),2)=1</formula>
    </cfRule>
  </conditionalFormatting>
  <conditionalFormatting sqref="F20:G40">
    <cfRule type="expression" dxfId="13" priority="1" stopIfTrue="1">
      <formula>MOD(ROW(),2)=0</formula>
    </cfRule>
    <cfRule type="expression" dxfId="1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"/>
  <dimension ref="A1:I44"/>
  <sheetViews>
    <sheetView showGridLines="0" zoomScaleNormal="100" workbookViewId="0">
      <selection activeCell="D43" sqref="D43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797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11690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4306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3359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947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0.36834901625320787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6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4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2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798</v>
      </c>
      <c r="C20" s="32" t="s">
        <v>799</v>
      </c>
      <c r="D20" s="32"/>
      <c r="E20" s="32" t="s">
        <v>30</v>
      </c>
      <c r="F20" s="12" t="s">
        <v>800</v>
      </c>
      <c r="G20" s="30"/>
      <c r="H20" s="9"/>
      <c r="I20" s="1"/>
    </row>
    <row r="21" spans="1:9" ht="13.8" x14ac:dyDescent="0.25">
      <c r="A21" s="6">
        <v>2</v>
      </c>
      <c r="B21" s="32" t="s">
        <v>801</v>
      </c>
      <c r="C21" s="32" t="s">
        <v>802</v>
      </c>
      <c r="D21" s="32" t="s">
        <v>33</v>
      </c>
      <c r="E21" s="32" t="s">
        <v>45</v>
      </c>
      <c r="F21" s="15" t="s">
        <v>803</v>
      </c>
      <c r="G21" s="31"/>
      <c r="H21" s="9"/>
      <c r="I21" s="1"/>
    </row>
    <row r="22" spans="1:9" ht="13.8" x14ac:dyDescent="0.25">
      <c r="A22" s="6">
        <v>3</v>
      </c>
      <c r="B22" s="32" t="s">
        <v>804</v>
      </c>
      <c r="C22" s="32" t="s">
        <v>805</v>
      </c>
      <c r="D22" s="32" t="s">
        <v>33</v>
      </c>
      <c r="E22" s="32" t="s">
        <v>34</v>
      </c>
      <c r="F22" s="15" t="s">
        <v>806</v>
      </c>
      <c r="G22" s="31"/>
      <c r="H22" s="9"/>
      <c r="I22" s="1"/>
    </row>
    <row r="23" spans="1:9" ht="13.8" x14ac:dyDescent="0.25">
      <c r="A23" s="6">
        <v>4</v>
      </c>
      <c r="B23" s="32" t="s">
        <v>807</v>
      </c>
      <c r="C23" s="32" t="s">
        <v>808</v>
      </c>
      <c r="D23" s="32"/>
      <c r="E23" s="32" t="s">
        <v>60</v>
      </c>
      <c r="F23" s="15" t="s">
        <v>809</v>
      </c>
      <c r="G23" s="31" t="s">
        <v>605</v>
      </c>
      <c r="H23" s="9"/>
      <c r="I23" s="1"/>
    </row>
    <row r="24" spans="1:9" ht="13.8" x14ac:dyDescent="0.25">
      <c r="A24" s="6">
        <v>5</v>
      </c>
      <c r="B24" s="32" t="s">
        <v>810</v>
      </c>
      <c r="C24" s="32" t="s">
        <v>811</v>
      </c>
      <c r="D24" s="32"/>
      <c r="E24" s="32" t="s">
        <v>60</v>
      </c>
      <c r="F24" s="15" t="s">
        <v>812</v>
      </c>
      <c r="G24" s="31" t="s">
        <v>605</v>
      </c>
      <c r="H24" s="9"/>
      <c r="I24" s="1"/>
    </row>
    <row r="25" spans="1:9" ht="13.8" x14ac:dyDescent="0.25">
      <c r="A25" s="6">
        <v>6</v>
      </c>
      <c r="B25" s="32" t="s">
        <v>813</v>
      </c>
      <c r="C25" s="32" t="s">
        <v>814</v>
      </c>
      <c r="D25" s="32"/>
      <c r="E25" s="32" t="s">
        <v>34</v>
      </c>
      <c r="F25" s="15" t="s">
        <v>815</v>
      </c>
      <c r="G25" s="31"/>
      <c r="H25" s="9"/>
      <c r="I25" s="1"/>
    </row>
    <row r="26" spans="1:9" ht="13.8" x14ac:dyDescent="0.25">
      <c r="A26" s="6">
        <v>7</v>
      </c>
      <c r="B26" s="32" t="s">
        <v>816</v>
      </c>
      <c r="C26" s="32" t="s">
        <v>817</v>
      </c>
      <c r="D26" s="32"/>
      <c r="E26" s="32" t="s">
        <v>30</v>
      </c>
      <c r="F26" s="15" t="s">
        <v>818</v>
      </c>
      <c r="G26" s="31"/>
      <c r="H26" s="9"/>
      <c r="I26" s="1"/>
    </row>
    <row r="27" spans="1:9" ht="13.8" x14ac:dyDescent="0.25">
      <c r="A27" s="6">
        <v>8</v>
      </c>
      <c r="B27" s="32" t="s">
        <v>819</v>
      </c>
      <c r="C27" s="32" t="s">
        <v>820</v>
      </c>
      <c r="D27" s="32" t="s">
        <v>33</v>
      </c>
      <c r="E27" s="32" t="s">
        <v>38</v>
      </c>
      <c r="F27" s="15" t="s">
        <v>821</v>
      </c>
      <c r="G27" s="31"/>
      <c r="H27" s="9"/>
      <c r="I27" s="1"/>
    </row>
    <row r="28" spans="1:9" ht="13.8" x14ac:dyDescent="0.25">
      <c r="A28" s="6">
        <v>9</v>
      </c>
      <c r="B28" s="32" t="s">
        <v>416</v>
      </c>
      <c r="C28" s="32" t="s">
        <v>822</v>
      </c>
      <c r="D28" s="32"/>
      <c r="E28" s="32" t="s">
        <v>38</v>
      </c>
      <c r="F28" s="15" t="s">
        <v>823</v>
      </c>
      <c r="G28" s="31"/>
      <c r="H28" s="9"/>
      <c r="I28" s="1"/>
    </row>
    <row r="29" spans="1:9" ht="13.8" x14ac:dyDescent="0.25">
      <c r="A29" s="6">
        <v>10</v>
      </c>
      <c r="B29" s="32" t="s">
        <v>416</v>
      </c>
      <c r="C29" s="32" t="s">
        <v>824</v>
      </c>
      <c r="D29" s="32" t="s">
        <v>33</v>
      </c>
      <c r="E29" s="32" t="s">
        <v>38</v>
      </c>
      <c r="F29" s="15" t="s">
        <v>825</v>
      </c>
      <c r="G29" s="31"/>
      <c r="H29" s="9"/>
      <c r="I29" s="1"/>
    </row>
    <row r="30" spans="1:9" ht="13.8" x14ac:dyDescent="0.25">
      <c r="A30" s="6">
        <v>11</v>
      </c>
      <c r="B30" s="32" t="s">
        <v>826</v>
      </c>
      <c r="C30" s="32" t="s">
        <v>827</v>
      </c>
      <c r="D30" s="32"/>
      <c r="E30" s="32" t="s">
        <v>60</v>
      </c>
      <c r="F30" s="15" t="s">
        <v>828</v>
      </c>
      <c r="G30" s="31" t="s">
        <v>605</v>
      </c>
      <c r="H30" s="9"/>
      <c r="I30" s="1"/>
    </row>
    <row r="31" spans="1:9" ht="13.8" x14ac:dyDescent="0.25">
      <c r="A31" s="6">
        <v>12</v>
      </c>
      <c r="B31" s="32" t="s">
        <v>829</v>
      </c>
      <c r="C31" s="32" t="s">
        <v>830</v>
      </c>
      <c r="D31" s="32"/>
      <c r="E31" s="32" t="s">
        <v>34</v>
      </c>
      <c r="F31" s="15" t="s">
        <v>831</v>
      </c>
      <c r="G31" s="31"/>
      <c r="H31" s="9"/>
      <c r="I31" s="1"/>
    </row>
    <row r="32" spans="1:9" ht="13.8" x14ac:dyDescent="0.25">
      <c r="A32" s="6">
        <v>13</v>
      </c>
      <c r="B32" s="32" t="s">
        <v>61</v>
      </c>
      <c r="C32" s="32" t="s">
        <v>832</v>
      </c>
      <c r="D32" s="32"/>
      <c r="E32" s="32" t="s">
        <v>30</v>
      </c>
      <c r="F32" s="15" t="s">
        <v>833</v>
      </c>
      <c r="G32" s="31"/>
      <c r="H32" s="9"/>
      <c r="I32" s="1"/>
    </row>
    <row r="33" spans="1:9" ht="13.8" x14ac:dyDescent="0.25">
      <c r="A33" s="6">
        <v>14</v>
      </c>
      <c r="B33" s="13"/>
      <c r="C33" s="14"/>
      <c r="D33" s="14"/>
      <c r="E33" s="15"/>
      <c r="F33" s="15"/>
      <c r="G33" s="15"/>
      <c r="H33" s="9" t="s">
        <v>152</v>
      </c>
      <c r="I33" s="1"/>
    </row>
    <row r="34" spans="1:9" ht="13.8" x14ac:dyDescent="0.25">
      <c r="A34" s="6">
        <v>15</v>
      </c>
      <c r="B34" s="13"/>
      <c r="C34" s="14"/>
      <c r="D34" s="14"/>
      <c r="E34" s="15"/>
      <c r="F34" s="15"/>
      <c r="G34" s="15"/>
      <c r="H34" s="9" t="s">
        <v>153</v>
      </c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11" priority="7" stopIfTrue="1">
      <formula>MOD(ROW(),2)=0</formula>
    </cfRule>
    <cfRule type="expression" dxfId="10" priority="8" stopIfTrue="1">
      <formula>MOD(ROW(),2)=1</formula>
    </cfRule>
  </conditionalFormatting>
  <conditionalFormatting sqref="C20">
    <cfRule type="expression" dxfId="9" priority="5" stopIfTrue="1">
      <formula>MOD(ROW(),2)=0</formula>
    </cfRule>
    <cfRule type="expression" dxfId="8" priority="6" stopIfTrue="1">
      <formula>MOD(ROW(),2)=1</formula>
    </cfRule>
  </conditionalFormatting>
  <conditionalFormatting sqref="F20:G40">
    <cfRule type="expression" dxfId="7" priority="1" stopIfTrue="1">
      <formula>MOD(ROW(),2)=0</formula>
    </cfRule>
    <cfRule type="expression" dxfId="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">
    <pageSetUpPr fitToPage="1"/>
  </sheetPr>
  <dimension ref="A1:I44"/>
  <sheetViews>
    <sheetView showGridLines="0" zoomScaleNormal="100" workbookViewId="0">
      <selection activeCell="F42" sqref="F42"/>
    </sheetView>
  </sheetViews>
  <sheetFormatPr defaultColWidth="11.44140625" defaultRowHeight="13.2" x14ac:dyDescent="0.25"/>
  <cols>
    <col min="1" max="1" width="3.44140625" customWidth="1"/>
    <col min="2" max="2" width="20.44140625" customWidth="1"/>
    <col min="3" max="3" width="12.21875" customWidth="1"/>
    <col min="4" max="4" width="22.77734375" customWidth="1"/>
    <col min="5" max="5" width="18.5546875" customWidth="1"/>
    <col min="6" max="6" width="32.77734375" customWidth="1"/>
    <col min="7" max="7" width="29.21875" customWidth="1"/>
    <col min="8" max="8" width="250.77734375" customWidth="1"/>
    <col min="9" max="9" width="29.2187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2</v>
      </c>
    </row>
    <row r="4" spans="1:9" ht="13.8" x14ac:dyDescent="0.25">
      <c r="A4" s="5" t="s">
        <v>3</v>
      </c>
      <c r="B4" s="21"/>
      <c r="C4" s="21"/>
      <c r="D4" s="21"/>
      <c r="E4" s="21"/>
      <c r="F4" s="21"/>
      <c r="G4" s="16" t="s">
        <v>4</v>
      </c>
    </row>
    <row r="5" spans="1:9" ht="13.8" x14ac:dyDescent="0.25">
      <c r="A5" s="5" t="s">
        <v>5</v>
      </c>
      <c r="B5" s="21"/>
      <c r="C5" s="21"/>
      <c r="D5" s="21"/>
      <c r="E5" s="21"/>
      <c r="F5" s="21"/>
      <c r="G5" s="17" t="s">
        <v>834</v>
      </c>
      <c r="I5" s="9" t="s">
        <v>7</v>
      </c>
    </row>
    <row r="6" spans="1:9" ht="13.8" x14ac:dyDescent="0.25">
      <c r="A6" s="5" t="s">
        <v>8</v>
      </c>
      <c r="B6" s="21"/>
      <c r="C6" s="21"/>
      <c r="D6" s="21"/>
      <c r="E6" s="21"/>
      <c r="F6" s="21"/>
      <c r="G6" s="17" t="s">
        <v>9</v>
      </c>
    </row>
    <row r="7" spans="1:9" ht="13.8" x14ac:dyDescent="0.25">
      <c r="A7" s="5" t="s">
        <v>10</v>
      </c>
      <c r="B7" s="21"/>
      <c r="C7" s="21"/>
      <c r="D7" s="21"/>
      <c r="E7" s="21"/>
      <c r="F7" s="21"/>
      <c r="G7" s="27">
        <v>11487</v>
      </c>
    </row>
    <row r="8" spans="1:9" ht="13.8" x14ac:dyDescent="0.25">
      <c r="A8" s="5" t="s">
        <v>11</v>
      </c>
      <c r="B8" s="21"/>
      <c r="C8" s="21"/>
      <c r="D8" s="21"/>
      <c r="E8" s="21"/>
      <c r="F8" s="21"/>
      <c r="G8" s="27">
        <v>6478</v>
      </c>
    </row>
    <row r="9" spans="1:9" ht="13.8" x14ac:dyDescent="0.25">
      <c r="A9" s="5"/>
      <c r="B9" s="21" t="s">
        <v>12</v>
      </c>
      <c r="C9" s="21"/>
      <c r="D9" s="21"/>
      <c r="E9" s="21"/>
      <c r="F9" s="21"/>
      <c r="G9" s="27">
        <f>G8-G10</f>
        <v>5157</v>
      </c>
    </row>
    <row r="10" spans="1:9" ht="13.8" x14ac:dyDescent="0.25">
      <c r="A10" s="5"/>
      <c r="B10" s="21" t="s">
        <v>13</v>
      </c>
      <c r="C10" s="21"/>
      <c r="D10" s="21"/>
      <c r="E10" s="21"/>
      <c r="F10" s="21"/>
      <c r="G10" s="28">
        <v>1321</v>
      </c>
    </row>
    <row r="11" spans="1:9" ht="13.8" x14ac:dyDescent="0.25">
      <c r="A11" s="5"/>
      <c r="B11" s="21" t="s">
        <v>14</v>
      </c>
      <c r="C11" s="21"/>
      <c r="D11" s="21"/>
      <c r="E11" s="21"/>
      <c r="F11" s="21"/>
      <c r="G11" s="29">
        <f>G8/G7</f>
        <v>0.56394184730564989</v>
      </c>
    </row>
    <row r="12" spans="1:9" ht="13.8" x14ac:dyDescent="0.25">
      <c r="A12" s="5" t="s">
        <v>15</v>
      </c>
      <c r="B12" s="21"/>
      <c r="C12" s="21"/>
      <c r="D12" s="21"/>
      <c r="E12" s="21"/>
      <c r="F12" s="21"/>
      <c r="G12" s="28">
        <f>SUM(G13:G17)</f>
        <v>6</v>
      </c>
    </row>
    <row r="13" spans="1:9" ht="13.8" x14ac:dyDescent="0.25">
      <c r="A13" s="5"/>
      <c r="B13" s="21" t="s">
        <v>16</v>
      </c>
      <c r="C13" s="21"/>
      <c r="D13" s="21"/>
      <c r="E13" s="21"/>
      <c r="F13" s="21"/>
      <c r="G13" s="27">
        <v>0</v>
      </c>
    </row>
    <row r="14" spans="1:9" ht="13.8" x14ac:dyDescent="0.25">
      <c r="A14" s="5"/>
      <c r="B14" s="21" t="s">
        <v>17</v>
      </c>
      <c r="C14" s="21"/>
      <c r="D14" s="21"/>
      <c r="E14" s="21"/>
      <c r="F14" s="21"/>
      <c r="G14" s="27">
        <v>4</v>
      </c>
    </row>
    <row r="15" spans="1:9" ht="13.8" x14ac:dyDescent="0.25">
      <c r="A15" s="5"/>
      <c r="B15" s="21" t="s">
        <v>18</v>
      </c>
      <c r="C15" s="21"/>
      <c r="D15" s="21"/>
      <c r="E15" s="21"/>
      <c r="F15" s="21"/>
      <c r="G15" s="27">
        <v>0</v>
      </c>
    </row>
    <row r="16" spans="1:9" ht="13.8" x14ac:dyDescent="0.25">
      <c r="A16" s="5"/>
      <c r="B16" s="21" t="s">
        <v>19</v>
      </c>
      <c r="C16" s="21"/>
      <c r="D16" s="21"/>
      <c r="E16" s="21"/>
      <c r="F16" s="21"/>
      <c r="G16" s="27">
        <v>2</v>
      </c>
    </row>
    <row r="17" spans="1:9" ht="13.8" x14ac:dyDescent="0.25">
      <c r="A17" s="5" t="s">
        <v>20</v>
      </c>
      <c r="B17" s="21"/>
      <c r="C17" s="21"/>
      <c r="D17" s="21"/>
      <c r="E17" s="21"/>
      <c r="F17" s="21"/>
      <c r="G17" s="27">
        <v>0</v>
      </c>
    </row>
    <row r="18" spans="1:9" ht="15" customHeight="1" x14ac:dyDescent="0.25">
      <c r="B18" s="11" t="s">
        <v>21</v>
      </c>
    </row>
    <row r="19" spans="1:9" ht="28.5" customHeight="1" x14ac:dyDescent="0.25">
      <c r="A19" s="7"/>
      <c r="B19" s="19" t="s">
        <v>22</v>
      </c>
      <c r="C19" s="19" t="s">
        <v>23</v>
      </c>
      <c r="D19" s="19" t="s">
        <v>24</v>
      </c>
      <c r="E19" s="19" t="s">
        <v>25</v>
      </c>
      <c r="F19" s="22" t="s">
        <v>26</v>
      </c>
      <c r="G19" s="20" t="s">
        <v>27</v>
      </c>
      <c r="H19" s="10"/>
    </row>
    <row r="20" spans="1:9" ht="13.8" x14ac:dyDescent="0.25">
      <c r="A20" s="6">
        <v>1</v>
      </c>
      <c r="B20" s="32" t="s">
        <v>835</v>
      </c>
      <c r="C20" s="32" t="s">
        <v>836</v>
      </c>
      <c r="D20" s="32"/>
      <c r="E20" s="32" t="s">
        <v>38</v>
      </c>
      <c r="F20" s="12" t="s">
        <v>837</v>
      </c>
      <c r="G20" s="30"/>
      <c r="H20" s="9"/>
      <c r="I20" s="1"/>
    </row>
    <row r="21" spans="1:9" ht="13.8" x14ac:dyDescent="0.25">
      <c r="A21" s="6">
        <v>2</v>
      </c>
      <c r="B21" s="32" t="s">
        <v>838</v>
      </c>
      <c r="C21" s="32" t="s">
        <v>839</v>
      </c>
      <c r="D21" s="32"/>
      <c r="E21" s="32" t="s">
        <v>30</v>
      </c>
      <c r="F21" s="15" t="s">
        <v>840</v>
      </c>
      <c r="G21" s="31" t="s">
        <v>35</v>
      </c>
      <c r="H21" s="9"/>
      <c r="I21" s="1"/>
    </row>
    <row r="22" spans="1:9" ht="13.8" x14ac:dyDescent="0.25">
      <c r="A22" s="6">
        <v>3</v>
      </c>
      <c r="B22" s="32" t="s">
        <v>841</v>
      </c>
      <c r="C22" s="32" t="s">
        <v>842</v>
      </c>
      <c r="D22" s="32"/>
      <c r="E22" s="32" t="s">
        <v>60</v>
      </c>
      <c r="F22" s="15" t="s">
        <v>240</v>
      </c>
      <c r="G22" s="31"/>
      <c r="H22" s="9"/>
      <c r="I22" s="1"/>
    </row>
    <row r="23" spans="1:9" ht="13.8" x14ac:dyDescent="0.25">
      <c r="A23" s="6">
        <v>4</v>
      </c>
      <c r="B23" s="32" t="s">
        <v>843</v>
      </c>
      <c r="C23" s="32" t="s">
        <v>316</v>
      </c>
      <c r="D23" s="32" t="s">
        <v>33</v>
      </c>
      <c r="E23" s="32" t="s">
        <v>34</v>
      </c>
      <c r="F23" s="15" t="s">
        <v>567</v>
      </c>
      <c r="G23" s="31"/>
      <c r="H23" s="9"/>
      <c r="I23" s="1"/>
    </row>
    <row r="24" spans="1:9" ht="13.8" x14ac:dyDescent="0.25">
      <c r="A24" s="6">
        <v>5</v>
      </c>
      <c r="B24" s="32" t="s">
        <v>93</v>
      </c>
      <c r="C24" s="32" t="s">
        <v>844</v>
      </c>
      <c r="D24" s="32" t="s">
        <v>33</v>
      </c>
      <c r="E24" s="32" t="s">
        <v>38</v>
      </c>
      <c r="F24" s="15" t="s">
        <v>845</v>
      </c>
      <c r="G24" s="31"/>
      <c r="H24" s="9"/>
      <c r="I24" s="1"/>
    </row>
    <row r="25" spans="1:9" ht="13.8" x14ac:dyDescent="0.25">
      <c r="A25" s="6">
        <v>6</v>
      </c>
      <c r="B25" s="32" t="s">
        <v>846</v>
      </c>
      <c r="C25" s="32" t="s">
        <v>847</v>
      </c>
      <c r="D25" s="32"/>
      <c r="E25" s="32" t="s">
        <v>34</v>
      </c>
      <c r="F25" s="15" t="s">
        <v>121</v>
      </c>
      <c r="G25" s="31"/>
      <c r="H25" s="9"/>
      <c r="I25" s="1"/>
    </row>
    <row r="26" spans="1:9" ht="13.8" x14ac:dyDescent="0.25">
      <c r="A26" s="6">
        <v>7</v>
      </c>
      <c r="B26" s="32" t="s">
        <v>848</v>
      </c>
      <c r="C26" s="32" t="s">
        <v>849</v>
      </c>
      <c r="D26" s="32"/>
      <c r="E26" s="32" t="s">
        <v>45</v>
      </c>
      <c r="F26" s="15" t="s">
        <v>850</v>
      </c>
      <c r="G26" s="31"/>
      <c r="H26" s="9"/>
      <c r="I26" s="1"/>
    </row>
    <row r="27" spans="1:9" ht="13.8" x14ac:dyDescent="0.25">
      <c r="A27" s="6">
        <v>8</v>
      </c>
      <c r="B27" s="32" t="s">
        <v>851</v>
      </c>
      <c r="C27" s="32" t="s">
        <v>852</v>
      </c>
      <c r="D27" s="32" t="s">
        <v>33</v>
      </c>
      <c r="E27" s="32" t="s">
        <v>30</v>
      </c>
      <c r="F27" s="15" t="s">
        <v>853</v>
      </c>
      <c r="G27" s="31" t="s">
        <v>35</v>
      </c>
      <c r="H27" s="9"/>
      <c r="I27" s="1"/>
    </row>
    <row r="28" spans="1:9" ht="13.8" x14ac:dyDescent="0.25">
      <c r="A28" s="6">
        <v>9</v>
      </c>
      <c r="B28" s="32" t="s">
        <v>854</v>
      </c>
      <c r="C28" s="32" t="s">
        <v>855</v>
      </c>
      <c r="D28" s="32" t="s">
        <v>33</v>
      </c>
      <c r="E28" s="32" t="s">
        <v>30</v>
      </c>
      <c r="F28" s="15" t="s">
        <v>856</v>
      </c>
      <c r="G28" s="31" t="s">
        <v>35</v>
      </c>
      <c r="H28" s="9"/>
      <c r="I28" s="1"/>
    </row>
    <row r="29" spans="1:9" ht="13.8" x14ac:dyDescent="0.25">
      <c r="A29" s="6">
        <v>10</v>
      </c>
      <c r="B29" s="32" t="s">
        <v>857</v>
      </c>
      <c r="C29" s="32" t="s">
        <v>858</v>
      </c>
      <c r="D29" s="32" t="s">
        <v>33</v>
      </c>
      <c r="E29" s="32" t="s">
        <v>45</v>
      </c>
      <c r="F29" s="15" t="s">
        <v>481</v>
      </c>
      <c r="G29" s="31"/>
      <c r="H29" s="9"/>
      <c r="I29" s="1"/>
    </row>
    <row r="30" spans="1:9" ht="13.8" x14ac:dyDescent="0.25">
      <c r="A30" s="6">
        <v>11</v>
      </c>
      <c r="B30" s="32" t="s">
        <v>414</v>
      </c>
      <c r="C30" s="32" t="s">
        <v>859</v>
      </c>
      <c r="D30" s="32"/>
      <c r="E30" s="32" t="s">
        <v>34</v>
      </c>
      <c r="F30" s="15" t="s">
        <v>860</v>
      </c>
      <c r="G30" s="31"/>
      <c r="H30" s="9"/>
      <c r="I30" s="1"/>
    </row>
    <row r="31" spans="1:9" ht="13.8" x14ac:dyDescent="0.25">
      <c r="A31" s="6">
        <v>12</v>
      </c>
      <c r="B31" s="32" t="s">
        <v>861</v>
      </c>
      <c r="C31" s="32" t="s">
        <v>862</v>
      </c>
      <c r="D31" s="32" t="s">
        <v>33</v>
      </c>
      <c r="E31" s="32" t="s">
        <v>45</v>
      </c>
      <c r="F31" s="15" t="s">
        <v>863</v>
      </c>
      <c r="G31" s="31"/>
      <c r="H31" s="9"/>
      <c r="I31" s="1"/>
    </row>
    <row r="32" spans="1:9" ht="13.8" x14ac:dyDescent="0.25">
      <c r="A32" s="6">
        <v>13</v>
      </c>
      <c r="B32" s="32" t="s">
        <v>864</v>
      </c>
      <c r="C32" s="32" t="s">
        <v>865</v>
      </c>
      <c r="D32" s="32" t="s">
        <v>33</v>
      </c>
      <c r="E32" s="32" t="s">
        <v>60</v>
      </c>
      <c r="F32" s="15" t="s">
        <v>866</v>
      </c>
      <c r="G32" s="31"/>
      <c r="H32" s="9"/>
      <c r="I32" s="1"/>
    </row>
    <row r="33" spans="1:9" ht="13.8" x14ac:dyDescent="0.25">
      <c r="A33" s="6">
        <v>14</v>
      </c>
      <c r="B33" s="32" t="s">
        <v>867</v>
      </c>
      <c r="C33" s="32" t="s">
        <v>868</v>
      </c>
      <c r="D33" s="32"/>
      <c r="E33" s="32" t="s">
        <v>38</v>
      </c>
      <c r="F33" s="15" t="s">
        <v>869</v>
      </c>
      <c r="G33" s="31"/>
      <c r="H33" s="9"/>
      <c r="I33" s="1"/>
    </row>
    <row r="34" spans="1:9" ht="13.8" x14ac:dyDescent="0.25">
      <c r="A34" s="6">
        <v>15</v>
      </c>
      <c r="B34" s="32" t="s">
        <v>459</v>
      </c>
      <c r="C34" s="32" t="s">
        <v>870</v>
      </c>
      <c r="D34" s="32" t="s">
        <v>33</v>
      </c>
      <c r="E34" s="32" t="s">
        <v>60</v>
      </c>
      <c r="F34" s="15" t="s">
        <v>871</v>
      </c>
      <c r="G34" s="31"/>
      <c r="H34" s="9"/>
      <c r="I34" s="1"/>
    </row>
    <row r="35" spans="1:9" ht="13.8" x14ac:dyDescent="0.25">
      <c r="A35" s="6">
        <v>16</v>
      </c>
      <c r="B35" s="13"/>
      <c r="C35" s="14"/>
      <c r="D35" s="14"/>
      <c r="E35" s="15"/>
      <c r="F35" s="15"/>
      <c r="G35" s="15"/>
      <c r="H35" s="9" t="s">
        <v>65</v>
      </c>
      <c r="I35" s="1"/>
    </row>
    <row r="36" spans="1:9" ht="13.8" x14ac:dyDescent="0.25">
      <c r="A36" s="6">
        <v>17</v>
      </c>
      <c r="B36" s="13"/>
      <c r="C36" s="14"/>
      <c r="D36" s="14"/>
      <c r="E36" s="15"/>
      <c r="F36" s="15"/>
      <c r="G36" s="15"/>
      <c r="H36" s="9" t="s">
        <v>66</v>
      </c>
      <c r="I36" s="1"/>
    </row>
    <row r="37" spans="1:9" ht="13.8" x14ac:dyDescent="0.25">
      <c r="A37" s="6">
        <v>18</v>
      </c>
      <c r="B37" s="13"/>
      <c r="C37" s="14"/>
      <c r="D37" s="14"/>
      <c r="E37" s="15"/>
      <c r="F37" s="15"/>
      <c r="G37" s="15"/>
      <c r="H37" s="9" t="s">
        <v>67</v>
      </c>
      <c r="I37" s="1"/>
    </row>
    <row r="38" spans="1:9" ht="13.8" x14ac:dyDescent="0.25">
      <c r="A38" s="6">
        <v>19</v>
      </c>
      <c r="B38" s="13"/>
      <c r="C38" s="14"/>
      <c r="D38" s="14"/>
      <c r="E38" s="15"/>
      <c r="F38" s="15"/>
      <c r="G38" s="15"/>
      <c r="H38" s="9" t="s">
        <v>68</v>
      </c>
      <c r="I38" s="1"/>
    </row>
    <row r="39" spans="1:9" ht="13.8" x14ac:dyDescent="0.25">
      <c r="A39" s="6">
        <v>20</v>
      </c>
      <c r="B39" s="13"/>
      <c r="C39" s="14"/>
      <c r="D39" s="14"/>
      <c r="E39" s="15"/>
      <c r="F39" s="15"/>
      <c r="G39" s="15"/>
      <c r="H39" s="9" t="s">
        <v>69</v>
      </c>
      <c r="I39" s="1"/>
    </row>
    <row r="40" spans="1:9" ht="13.8" x14ac:dyDescent="0.25">
      <c r="A40" s="6">
        <v>21</v>
      </c>
      <c r="B40" s="13"/>
      <c r="C40" s="14"/>
      <c r="D40" s="14"/>
      <c r="E40" s="15"/>
      <c r="F40" s="15"/>
      <c r="G40" s="15"/>
      <c r="H40" s="9" t="s">
        <v>70</v>
      </c>
      <c r="I40" s="1"/>
    </row>
    <row r="41" spans="1:9" ht="13.8" x14ac:dyDescent="0.25">
      <c r="F41" s="2"/>
      <c r="G41" s="18"/>
      <c r="H41" s="9"/>
      <c r="I41" s="1"/>
    </row>
    <row r="42" spans="1:9" ht="13.8" x14ac:dyDescent="0.25">
      <c r="F42" s="2"/>
      <c r="G42" s="18"/>
      <c r="H42" s="9"/>
      <c r="I42" s="1"/>
    </row>
    <row r="43" spans="1:9" ht="13.8" x14ac:dyDescent="0.25">
      <c r="F43" s="2"/>
      <c r="G43" s="18"/>
      <c r="H43" s="9"/>
      <c r="I43" s="1"/>
    </row>
    <row r="44" spans="1:9" ht="13.8" x14ac:dyDescent="0.25">
      <c r="F44" s="2"/>
      <c r="G44" s="18"/>
      <c r="H44" s="9"/>
      <c r="I44" s="1"/>
    </row>
  </sheetData>
  <conditionalFormatting sqref="B20:E40">
    <cfRule type="expression" dxfId="5" priority="7" stopIfTrue="1">
      <formula>MOD(ROW(),2)=0</formula>
    </cfRule>
    <cfRule type="expression" dxfId="4" priority="8" stopIfTrue="1">
      <formula>MOD(ROW(),2)=1</formula>
    </cfRule>
  </conditionalFormatting>
  <conditionalFormatting sqref="C20">
    <cfRule type="expression" dxfId="3" priority="5" stopIfTrue="1">
      <formula>MOD(ROW(),2)=0</formula>
    </cfRule>
    <cfRule type="expression" dxfId="2" priority="6" stopIfTrue="1">
      <formula>MOD(ROW(),2)=1</formula>
    </cfRule>
  </conditionalFormatting>
  <conditionalFormatting sqref="F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35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4a84293-9bbf-4bc8-a250-85c919c99cf4">
      <Terms xmlns="http://schemas.microsoft.com/office/infopath/2007/PartnerControls"/>
    </lcf76f155ced4ddcb4097134ff3c332f>
    <Reviewadas xmlns="34a84293-9bbf-4bc8-a250-85c919c99cf4" xsi:nil="true"/>
    <TaxCatchAll xmlns="d345eff1-1d60-409f-a687-c4cc64e332b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54849A9E256764CAA556250664BD724" ma:contentTypeVersion="14" ma:contentTypeDescription="Create a new document." ma:contentTypeScope="" ma:versionID="5271cbf2e168027705a33492335b7f3b">
  <xsd:schema xmlns:xsd="http://www.w3.org/2001/XMLSchema" xmlns:xs="http://www.w3.org/2001/XMLSchema" xmlns:p="http://schemas.microsoft.com/office/2006/metadata/properties" xmlns:ns2="34a84293-9bbf-4bc8-a250-85c919c99cf4" xmlns:ns3="d345eff1-1d60-409f-a687-c4cc64e332b9" targetNamespace="http://schemas.microsoft.com/office/2006/metadata/properties" ma:root="true" ma:fieldsID="eb9eb88aad015f390cdf593b4ac63b8b" ns2:_="" ns3:_="">
    <xsd:import namespace="34a84293-9bbf-4bc8-a250-85c919c99cf4"/>
    <xsd:import namespace="d345eff1-1d60-409f-a687-c4cc64e332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BillingMetadata" minOccurs="0"/>
                <xsd:element ref="ns2:Reviewada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a84293-9bbf-4bc8-a250-85c919c99c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7eb21c1-5aa8-484e-b355-dca19d20d57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Reviewadas" ma:index="20" nillable="true" ma:displayName="Review adas " ma:format="DateOnly" ma:internalName="Reviewadas">
      <xsd:simpleType>
        <xsd:restriction base="dms:DateTim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45eff1-1d60-409f-a687-c4cc64e332b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13c184e-4850-46d3-a0d3-2c9cea143579}" ma:internalName="TaxCatchAll" ma:showField="CatchAllData" ma:web="1af27fc7-aab9-42a2-8587-708368df77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042B053-29AE-4F64-A385-8DAAF2D995F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340723-8F84-48E5-B914-7621A9368092}">
  <ds:schemaRefs>
    <ds:schemaRef ds:uri="http://schemas.microsoft.com/office/infopath/2007/PartnerControls"/>
    <ds:schemaRef ds:uri="34a84293-9bbf-4bc8-a250-85c919c99cf4"/>
    <ds:schemaRef ds:uri="http://schemas.microsoft.com/office/2006/documentManagement/types"/>
    <ds:schemaRef ds:uri="http://purl.org/dc/terms/"/>
    <ds:schemaRef ds:uri="http://schemas.microsoft.com/office/2006/metadata/properties"/>
    <ds:schemaRef ds:uri="http://purl.org/dc/dcmitype/"/>
    <ds:schemaRef ds:uri="http://purl.org/dc/elements/1.1/"/>
    <ds:schemaRef ds:uri="http://schemas.openxmlformats.org/package/2006/metadata/core-properties"/>
    <ds:schemaRef ds:uri="d345eff1-1d60-409f-a687-c4cc64e332b9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377840A-525D-490F-A4E2-744C033FAB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a84293-9bbf-4bc8-a250-85c919c99cf4"/>
    <ds:schemaRef ds:uri="d345eff1-1d60-409f-a687-c4cc64e332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Beckenham T...</vt:lpstr>
      <vt:lpstr>Bickley &amp; S...</vt:lpstr>
      <vt:lpstr>Biggin Hill</vt:lpstr>
      <vt:lpstr>Bromley Com...</vt:lpstr>
      <vt:lpstr>Bromley Town</vt:lpstr>
      <vt:lpstr>Chelsfield</vt:lpstr>
      <vt:lpstr>Chislehurst</vt:lpstr>
      <vt:lpstr>Clock House</vt:lpstr>
      <vt:lpstr>Crystal Pal...</vt:lpstr>
      <vt:lpstr>Darwin</vt:lpstr>
      <vt:lpstr>Farnborough...</vt:lpstr>
      <vt:lpstr>Hayes &amp; Con...</vt:lpstr>
      <vt:lpstr>Kelsey &amp; Ed...</vt:lpstr>
      <vt:lpstr>Mottingham</vt:lpstr>
      <vt:lpstr>Orpington</vt:lpstr>
      <vt:lpstr>Penge &amp; Cator</vt:lpstr>
      <vt:lpstr>Petts Wood ...</vt:lpstr>
      <vt:lpstr>Plaistow</vt:lpstr>
      <vt:lpstr>Shortlands ...</vt:lpstr>
      <vt:lpstr>St Mary Cray</vt:lpstr>
      <vt:lpstr>St Paul's Cray</vt:lpstr>
      <vt:lpstr>West Wickham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>Ling, Carol</cp:lastModifiedBy>
  <cp:revision/>
  <cp:lastPrinted>2026-06-09T11:06:18Z</cp:lastPrinted>
  <dcterms:created xsi:type="dcterms:W3CDTF">2010-04-26T09:06:52Z</dcterms:created>
  <dcterms:modified xsi:type="dcterms:W3CDTF">2026-06-17T15:58:14Z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0x010100454849A9E256764CAA556250664BD724</vt:lpwstr>
  </property>
  <property fmtid="{D5CDD505-2E9C-101B-9397-08002B2CF9AE}" pid="3" name="MediaServiceImageTags">
    <vt:lpwstr/>
  </property>
</Properties>
</file>