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oyalgreenwich-my.sharepoint.com/personal/matt_willis_royalgreenwich_gov_uk/Documents/Downloads/"/>
    </mc:Choice>
  </mc:AlternateContent>
  <xr:revisionPtr revIDLastSave="253" documentId="8_{EDEE15A7-74F5-4BD8-ADBF-C0DE2BED67BF}" xr6:coauthVersionLast="47" xr6:coauthVersionMax="47" xr10:uidLastSave="{1F3F663A-5235-463E-BF06-F5C2A0177969}"/>
  <bookViews>
    <workbookView xWindow="-110" yWindow="-110" windowWidth="19420" windowHeight="11500" tabRatio="828" firstSheet="16" activeTab="22" xr2:uid="{00000000-000D-0000-FFFF-FFFF00000000}"/>
  </bookViews>
  <sheets>
    <sheet name="Abbey Wood" sheetId="5" r:id="rId1"/>
    <sheet name="Blackheath ..." sheetId="6" r:id="rId2"/>
    <sheet name="Charlton Ho..." sheetId="7" r:id="rId3"/>
    <sheet name="Charlton Vi..." sheetId="8" r:id="rId4"/>
    <sheet name="East Greenwich" sheetId="9" r:id="rId5"/>
    <sheet name="Eltham Page" sheetId="10" r:id="rId6"/>
    <sheet name="Eltham Park..." sheetId="11" r:id="rId7"/>
    <sheet name="Eltham Town..." sheetId="12" r:id="rId8"/>
    <sheet name="Greenwich C..." sheetId="13" r:id="rId9"/>
    <sheet name="Greenwich Park" sheetId="14" r:id="rId10"/>
    <sheet name="Greenwich P..." sheetId="15" r:id="rId11"/>
    <sheet name="Kidbrooke Park" sheetId="16" r:id="rId12"/>
    <sheet name="Kidbrooke V..." sheetId="17" r:id="rId13"/>
    <sheet name="Middle Park..." sheetId="18" r:id="rId14"/>
    <sheet name="Mottingham,..." sheetId="19" r:id="rId15"/>
    <sheet name="Plumstead &amp;..." sheetId="20" r:id="rId16"/>
    <sheet name="Plumstead C..." sheetId="21" r:id="rId17"/>
    <sheet name="Shooters Hill" sheetId="22" r:id="rId18"/>
    <sheet name="Thamesmead ..." sheetId="23" r:id="rId19"/>
    <sheet name="West Thames..." sheetId="24" r:id="rId20"/>
    <sheet name="Woolwich Ar..." sheetId="25" r:id="rId21"/>
    <sheet name="Woolwich Co..." sheetId="26" r:id="rId22"/>
    <sheet name="Woolwich Do..." sheetId="27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1" l="1"/>
  <c r="G12" i="27"/>
  <c r="G11" i="27"/>
  <c r="G9" i="27"/>
  <c r="G12" i="26"/>
  <c r="G11" i="26"/>
  <c r="G9" i="26"/>
  <c r="G12" i="25"/>
  <c r="G11" i="25"/>
  <c r="G9" i="25"/>
  <c r="G12" i="24"/>
  <c r="G11" i="24"/>
  <c r="G9" i="24"/>
  <c r="G12" i="23"/>
  <c r="G11" i="23"/>
  <c r="G9" i="23"/>
  <c r="G12" i="22"/>
  <c r="G11" i="22"/>
  <c r="G9" i="22"/>
  <c r="G12" i="21"/>
  <c r="G11" i="21"/>
  <c r="G9" i="21"/>
  <c r="G12" i="20"/>
  <c r="G11" i="20"/>
  <c r="G9" i="20"/>
  <c r="G12" i="19"/>
  <c r="G11" i="19"/>
  <c r="G9" i="19"/>
  <c r="G12" i="18"/>
  <c r="G11" i="18"/>
  <c r="G9" i="18"/>
  <c r="G12" i="17"/>
  <c r="G11" i="17"/>
  <c r="G9" i="17"/>
  <c r="G12" i="16"/>
  <c r="G11" i="16"/>
  <c r="G9" i="16"/>
  <c r="G12" i="15"/>
  <c r="G11" i="15"/>
  <c r="G9" i="15"/>
  <c r="G12" i="14"/>
  <c r="G11" i="14"/>
  <c r="G9" i="14"/>
  <c r="G12" i="13"/>
  <c r="G11" i="13"/>
  <c r="G9" i="13"/>
  <c r="G12" i="12"/>
  <c r="G11" i="12"/>
  <c r="G9" i="12"/>
  <c r="G12" i="11"/>
  <c r="G11" i="11"/>
  <c r="G12" i="10"/>
  <c r="G11" i="10"/>
  <c r="G9" i="10"/>
  <c r="G12" i="9"/>
  <c r="G11" i="9"/>
  <c r="G9" i="9"/>
  <c r="G12" i="8"/>
  <c r="G11" i="8"/>
  <c r="G9" i="8"/>
  <c r="G12" i="7"/>
  <c r="G11" i="7"/>
  <c r="G9" i="7"/>
  <c r="G12" i="6"/>
  <c r="G9" i="6"/>
  <c r="G11" i="6"/>
  <c r="G12" i="5"/>
  <c r="G11" i="5"/>
  <c r="G9" i="5"/>
</calcChain>
</file>

<file path=xl/sharedStrings.xml><?xml version="1.0" encoding="utf-8"?>
<sst xmlns="http://schemas.openxmlformats.org/spreadsheetml/2006/main" count="2016" uniqueCount="561">
  <si>
    <t>Report of Election for the Greater London Authority</t>
  </si>
  <si>
    <t>Please fill in the form as completely as possible before returning to joe.heywood@london.gov.uk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</si>
  <si>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</si>
  <si>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</si>
  <si>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</si>
  <si>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</si>
  <si>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</si>
  <si>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</si>
  <si>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</si>
  <si>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</si>
  <si>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</si>
  <si>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</si>
  <si>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</si>
  <si>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</si>
  <si>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</si>
  <si>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</si>
  <si>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</si>
  <si>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</si>
  <si>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</si>
  <si>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</si>
  <si>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</si>
  <si>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</si>
  <si>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</si>
  <si>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</si>
  <si>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</si>
  <si>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</si>
  <si>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</si>
  <si>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</si>
  <si>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</si>
  <si>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</si>
  <si>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</si>
  <si>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</si>
  <si>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</si>
  <si>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</si>
  <si>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</si>
  <si>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</si>
  <si>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</si>
  <si>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</si>
  <si>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</si>
  <si>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</si>
  <si>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</si>
  <si>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</si>
  <si>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</si>
  <si>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</si>
  <si>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</si>
  <si>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Greenwich</t>
  </si>
  <si>
    <t>7 May 2026</t>
  </si>
  <si>
    <t>Abbey Wood</t>
  </si>
  <si>
    <t>3</t>
  </si>
  <si>
    <t>Blackheath Westcombe</t>
  </si>
  <si>
    <t>Charlton Hornfair</t>
  </si>
  <si>
    <t>2</t>
  </si>
  <si>
    <t>Charlton Village &amp; Riverside</t>
  </si>
  <si>
    <t>East Greenwich</t>
  </si>
  <si>
    <t>Eltham Page</t>
  </si>
  <si>
    <t>Eltham Park &amp; Progress</t>
  </si>
  <si>
    <t>Eltham Town &amp; Avery Hill</t>
  </si>
  <si>
    <t>Greenwich Creekside</t>
  </si>
  <si>
    <t>Greenwich Park</t>
  </si>
  <si>
    <t>Greenwich Peninsula</t>
  </si>
  <si>
    <t>Kidbrooke Park</t>
  </si>
  <si>
    <t>Kidbrooke Village &amp; Sutcliffe</t>
  </si>
  <si>
    <t>Middle Park &amp; Horn Park</t>
  </si>
  <si>
    <t>Mottingham, Coldharbour &amp; New Eltham</t>
  </si>
  <si>
    <t>Plumstead &amp; Glyndon</t>
  </si>
  <si>
    <t>Plumstead Common</t>
  </si>
  <si>
    <t>Shooters Hill</t>
  </si>
  <si>
    <t>Thamesmead Moorings</t>
  </si>
  <si>
    <t>West Thamesmead</t>
  </si>
  <si>
    <t>Woolwich Arsenal</t>
  </si>
  <si>
    <t>Woolwich Common</t>
  </si>
  <si>
    <t>Woolwich Dockyard</t>
  </si>
  <si>
    <t>AYDIN</t>
  </si>
  <si>
    <t>Grace</t>
  </si>
  <si>
    <t>Local Conservatives</t>
  </si>
  <si>
    <t>BEALES</t>
  </si>
  <si>
    <t>Annabel</t>
  </si>
  <si>
    <t>Green Party</t>
  </si>
  <si>
    <t>COUSINS</t>
  </si>
  <si>
    <t>Ann-Marie Imani</t>
  </si>
  <si>
    <t>Independent</t>
  </si>
  <si>
    <t>CRESWELL</t>
  </si>
  <si>
    <t>Tom</t>
  </si>
  <si>
    <t>Labour Party</t>
  </si>
  <si>
    <t>DAWODU</t>
  </si>
  <si>
    <t>Jummy</t>
  </si>
  <si>
    <t>GALLIE</t>
  </si>
  <si>
    <t>Simon</t>
  </si>
  <si>
    <t>GURUNG RANABHAT</t>
  </si>
  <si>
    <t>Gaumaya</t>
  </si>
  <si>
    <t>HANDYSIDE</t>
  </si>
  <si>
    <t>Ruth</t>
  </si>
  <si>
    <t>Reform UK</t>
  </si>
  <si>
    <t>HEADON</t>
  </si>
  <si>
    <t>Finbarr Dominic</t>
  </si>
  <si>
    <t>Liberal Democrats</t>
  </si>
  <si>
    <t>Thomas</t>
  </si>
  <si>
    <t>JOHNSON</t>
  </si>
  <si>
    <t>Ronie Devere</t>
  </si>
  <si>
    <t>POWERS</t>
  </si>
  <si>
    <t>Austin</t>
  </si>
  <si>
    <t>PRESTON</t>
  </si>
  <si>
    <t>Ben</t>
  </si>
  <si>
    <t>ROBINSON</t>
  </si>
  <si>
    <t>RODWELL</t>
  </si>
  <si>
    <t>Gregory</t>
  </si>
  <si>
    <t>SKABRIN</t>
  </si>
  <si>
    <t>Angela</t>
  </si>
  <si>
    <t>X</t>
  </si>
  <si>
    <t>ALLMAN</t>
  </si>
  <si>
    <t>Trevor William</t>
  </si>
  <si>
    <t>The Official Monster Raving Loony Party</t>
  </si>
  <si>
    <t>BRIGHTY</t>
  </si>
  <si>
    <t>Geoff</t>
  </si>
  <si>
    <t>FLETCHER</t>
  </si>
  <si>
    <t>Leo Sean</t>
  </si>
  <si>
    <t>Labour and Co-operative Party</t>
  </si>
  <si>
    <t>HAGA</t>
  </si>
  <si>
    <t>Jasmine</t>
  </si>
  <si>
    <t>HUTCHCROFT</t>
  </si>
  <si>
    <t>Deramore</t>
  </si>
  <si>
    <t>KAY</t>
  </si>
  <si>
    <t>Ray</t>
  </si>
  <si>
    <t>KENNEDY</t>
  </si>
  <si>
    <t>Robert</t>
  </si>
  <si>
    <t>LAVRENTIEV</t>
  </si>
  <si>
    <t>Vlad</t>
  </si>
  <si>
    <t>LOLAVAR</t>
  </si>
  <si>
    <t>Mariam</t>
  </si>
  <si>
    <t>MOORE</t>
  </si>
  <si>
    <t>Fiona</t>
  </si>
  <si>
    <t>PFEIFFER</t>
  </si>
  <si>
    <t>Mary</t>
  </si>
  <si>
    <t>ST.MATTHEW-DANIEL</t>
  </si>
  <si>
    <t>Christine</t>
  </si>
  <si>
    <t>THIAGARAJ</t>
  </si>
  <si>
    <t>Meena</t>
  </si>
  <si>
    <t>WALSH</t>
  </si>
  <si>
    <t>Sian</t>
  </si>
  <si>
    <t>WATERS</t>
  </si>
  <si>
    <t>Tim</t>
  </si>
  <si>
    <t>WRESNIWIRO</t>
  </si>
  <si>
    <t>Topo</t>
  </si>
  <si>
    <t>ALBISTON</t>
  </si>
  <si>
    <t>Bren</t>
  </si>
  <si>
    <t>BURRIDGE</t>
  </si>
  <si>
    <t>Sam</t>
  </si>
  <si>
    <t>DUNN</t>
  </si>
  <si>
    <t>Philip Mark</t>
  </si>
  <si>
    <t>FIENNES</t>
  </si>
  <si>
    <t>Rupert</t>
  </si>
  <si>
    <t>HISBANI</t>
  </si>
  <si>
    <t>Ambreen</t>
  </si>
  <si>
    <t>HOLLAND</t>
  </si>
  <si>
    <t>Jessica</t>
  </si>
  <si>
    <t>KELLY</t>
  </si>
  <si>
    <t>Ann Teresa</t>
  </si>
  <si>
    <t>SALDIN</t>
  </si>
  <si>
    <t>Lakshan</t>
  </si>
  <si>
    <t>Frederick</t>
  </si>
  <si>
    <t>WATKIN</t>
  </si>
  <si>
    <t>Stuart</t>
  </si>
  <si>
    <t>BRILEY</t>
  </si>
  <si>
    <t>Stephen</t>
  </si>
  <si>
    <t>COWLEY</t>
  </si>
  <si>
    <t>Andrew James</t>
  </si>
  <si>
    <t>DARK</t>
  </si>
  <si>
    <t>Gary</t>
  </si>
  <si>
    <t>EVERETT</t>
  </si>
  <si>
    <t>Caroline</t>
  </si>
  <si>
    <t>GARDNER</t>
  </si>
  <si>
    <t>David Llewellyn</t>
  </si>
  <si>
    <t>HORRELL</t>
  </si>
  <si>
    <t>JEFFERY</t>
  </si>
  <si>
    <t>JINARU</t>
  </si>
  <si>
    <t>Ivan</t>
  </si>
  <si>
    <t>KUNCHAMWAR</t>
  </si>
  <si>
    <t>Sandeep</t>
  </si>
  <si>
    <t>VAN DEN BROEK</t>
  </si>
  <si>
    <t>Jo</t>
  </si>
  <si>
    <t>x</t>
  </si>
  <si>
    <t>BINGHAM</t>
  </si>
  <si>
    <t>Oliver</t>
  </si>
  <si>
    <t>BRINSON</t>
  </si>
  <si>
    <t>David</t>
  </si>
  <si>
    <t>CUMMINS</t>
  </si>
  <si>
    <t>Erik</t>
  </si>
  <si>
    <t>EDGAR</t>
  </si>
  <si>
    <t>George</t>
  </si>
  <si>
    <t>IVES</t>
  </si>
  <si>
    <t>Patrick Thomas</t>
  </si>
  <si>
    <t>JEFFORD</t>
  </si>
  <si>
    <t>James</t>
  </si>
  <si>
    <t>Charlie Michael James</t>
  </si>
  <si>
    <t>LAND</t>
  </si>
  <si>
    <t>MARKOV</t>
  </si>
  <si>
    <t>Martin</t>
  </si>
  <si>
    <t>RAHMAN</t>
  </si>
  <si>
    <t>Majid</t>
  </si>
  <si>
    <t>RICHARDS COTTELL</t>
  </si>
  <si>
    <t>Maisie</t>
  </si>
  <si>
    <t>ROGERS</t>
  </si>
  <si>
    <t>Josh</t>
  </si>
  <si>
    <t>WARD</t>
  </si>
  <si>
    <t>Darren</t>
  </si>
  <si>
    <t>WATKINS</t>
  </si>
  <si>
    <t>Kieran</t>
  </si>
  <si>
    <t>WELLER</t>
  </si>
  <si>
    <t>Brian</t>
  </si>
  <si>
    <t>BANKS</t>
  </si>
  <si>
    <t>Paul Trevor</t>
  </si>
  <si>
    <t>DICKENSON</t>
  </si>
  <si>
    <t>Jane</t>
  </si>
  <si>
    <t>DRURY</t>
  </si>
  <si>
    <t>Spencer</t>
  </si>
  <si>
    <t>JAMES</t>
  </si>
  <si>
    <t>Colin</t>
  </si>
  <si>
    <t>MAY</t>
  </si>
  <si>
    <t>Chris</t>
  </si>
  <si>
    <t>MILLS</t>
  </si>
  <si>
    <t>Alistair</t>
  </si>
  <si>
    <t>QADAR</t>
  </si>
  <si>
    <t>Siama</t>
  </si>
  <si>
    <t>RAMCHARAN</t>
  </si>
  <si>
    <t>RUSSELL</t>
  </si>
  <si>
    <t>Phil</t>
  </si>
  <si>
    <t>SHUBERT</t>
  </si>
  <si>
    <t>Elliot</t>
  </si>
  <si>
    <t>ACHILLI</t>
  </si>
  <si>
    <t>Christian</t>
  </si>
  <si>
    <t>ADOLPHUS-UGO</t>
  </si>
  <si>
    <t>Anthonia</t>
  </si>
  <si>
    <t>CROMPTON</t>
  </si>
  <si>
    <t>Arthur</t>
  </si>
  <si>
    <t>EDWARDS</t>
  </si>
  <si>
    <t>FRASER</t>
  </si>
  <si>
    <t>Jeremy Stuart</t>
  </si>
  <si>
    <t>KELSEY</t>
  </si>
  <si>
    <t>Scarlett Ann</t>
  </si>
  <si>
    <t>MCGINNESS</t>
  </si>
  <si>
    <t>Sophie Angela</t>
  </si>
  <si>
    <t>OLUMIDE</t>
  </si>
  <si>
    <t>Gabriella</t>
  </si>
  <si>
    <t>RIDDELL</t>
  </si>
  <si>
    <t>Jason</t>
  </si>
  <si>
    <t>WILLIAMSON</t>
  </si>
  <si>
    <t>Earl</t>
  </si>
  <si>
    <t>AKINDUTIRE</t>
  </si>
  <si>
    <t>Johnathan</t>
  </si>
  <si>
    <t>Helen Elizabeth</t>
  </si>
  <si>
    <t>BESIM</t>
  </si>
  <si>
    <t>Azmi</t>
  </si>
  <si>
    <t>CHUTER</t>
  </si>
  <si>
    <t>Michael</t>
  </si>
  <si>
    <t>COX</t>
  </si>
  <si>
    <t>Eileen</t>
  </si>
  <si>
    <t>COZER</t>
  </si>
  <si>
    <t>Daniel</t>
  </si>
  <si>
    <t>DAVIS</t>
  </si>
  <si>
    <t>Charlie</t>
  </si>
  <si>
    <t>GREENWELL</t>
  </si>
  <si>
    <t>Pat</t>
  </si>
  <si>
    <t>HADDOCK</t>
  </si>
  <si>
    <t>Eleanor</t>
  </si>
  <si>
    <t>PATTENDEN</t>
  </si>
  <si>
    <t>Mark</t>
  </si>
  <si>
    <t>PICKUP</t>
  </si>
  <si>
    <t>Michael David</t>
  </si>
  <si>
    <t>SAYERS</t>
  </si>
  <si>
    <t>Rob</t>
  </si>
  <si>
    <t>STRATFORD</t>
  </si>
  <si>
    <t>Matt</t>
  </si>
  <si>
    <t>SULLIVAN-WALLACE</t>
  </si>
  <si>
    <t>TARLING</t>
  </si>
  <si>
    <t>Arnold Edwin</t>
  </si>
  <si>
    <t>WILLIAMS</t>
  </si>
  <si>
    <t>AUSTIN</t>
  </si>
  <si>
    <t>Anthony</t>
  </si>
  <si>
    <t>BAILEY</t>
  </si>
  <si>
    <t>Scott</t>
  </si>
  <si>
    <t>HARRISON</t>
  </si>
  <si>
    <t>Andrew</t>
  </si>
  <si>
    <t>MANDIKA</t>
  </si>
  <si>
    <t>Anthonio</t>
  </si>
  <si>
    <t>MUIR</t>
  </si>
  <si>
    <t>Tillie</t>
  </si>
  <si>
    <t>O`BYRNE MULLIGAN</t>
  </si>
  <si>
    <t>Calum</t>
  </si>
  <si>
    <t>RANDALL</t>
  </si>
  <si>
    <t>Keira Tessa</t>
  </si>
  <si>
    <t>SWIFT</t>
  </si>
  <si>
    <t>Christopher</t>
  </si>
  <si>
    <t>TAMBER</t>
  </si>
  <si>
    <t>Rajinder</t>
  </si>
  <si>
    <t>BELL</t>
  </si>
  <si>
    <t>Jen</t>
  </si>
  <si>
    <t>GREEN</t>
  </si>
  <si>
    <t>HARRIS</t>
  </si>
  <si>
    <t>Victoria</t>
  </si>
  <si>
    <t>REYNOLDS</t>
  </si>
  <si>
    <t>James Keith</t>
  </si>
  <si>
    <t>SCHOLEFIELD</t>
  </si>
  <si>
    <t>Keith Barry</t>
  </si>
  <si>
    <t>SMITH</t>
  </si>
  <si>
    <t>Aidan</t>
  </si>
  <si>
    <t>Stacy</t>
  </si>
  <si>
    <t>TEARLE</t>
  </si>
  <si>
    <t>Karin</t>
  </si>
  <si>
    <t>CHAMBERLAIN</t>
  </si>
  <si>
    <t>Richard</t>
  </si>
  <si>
    <t>FARRA</t>
  </si>
  <si>
    <t>Anna</t>
  </si>
  <si>
    <t>HOSKIN</t>
  </si>
  <si>
    <t>MCGRATH</t>
  </si>
  <si>
    <t>PROTEA</t>
  </si>
  <si>
    <t>Catalin Ionut</t>
  </si>
  <si>
    <t>ROBERTS</t>
  </si>
  <si>
    <t>Jennifer</t>
  </si>
  <si>
    <t>SCOTT-MCDONALD</t>
  </si>
  <si>
    <t>Denise</t>
  </si>
  <si>
    <t>SEIFFARTH</t>
  </si>
  <si>
    <t>SELBY</t>
  </si>
  <si>
    <t>Claire Elaine</t>
  </si>
  <si>
    <t>SELLICK</t>
  </si>
  <si>
    <t>Jack</t>
  </si>
  <si>
    <t>STEBBINGS</t>
  </si>
  <si>
    <t>TINKLER</t>
  </si>
  <si>
    <t>Kit</t>
  </si>
  <si>
    <t>WEST</t>
  </si>
  <si>
    <t>Alan</t>
  </si>
  <si>
    <t>Nick</t>
  </si>
  <si>
    <t>AUSTEN</t>
  </si>
  <si>
    <t>Don</t>
  </si>
  <si>
    <t>FAHY</t>
  </si>
  <si>
    <t>John</t>
  </si>
  <si>
    <t>JUDGE</t>
  </si>
  <si>
    <t>Veronica</t>
  </si>
  <si>
    <t>KAKOSCHKE</t>
  </si>
  <si>
    <t>Alison</t>
  </si>
  <si>
    <t>Natacha Jessica</t>
  </si>
  <si>
    <t>PRATT</t>
  </si>
  <si>
    <t>Terence James</t>
  </si>
  <si>
    <t>REID</t>
  </si>
  <si>
    <t>Donald</t>
  </si>
  <si>
    <t>Malcolm</t>
  </si>
  <si>
    <t>THURLOW</t>
  </si>
  <si>
    <t>Nikki</t>
  </si>
  <si>
    <t>WATNEY</t>
  </si>
  <si>
    <t>Carina</t>
  </si>
  <si>
    <t>ALISON</t>
  </si>
  <si>
    <t>ASHWORTH</t>
  </si>
  <si>
    <t>BAUER</t>
  </si>
  <si>
    <t>Sandra</t>
  </si>
  <si>
    <t>Kate</t>
  </si>
  <si>
    <t>GHOSH</t>
  </si>
  <si>
    <t>Purabi</t>
  </si>
  <si>
    <t>GRAHAM</t>
  </si>
  <si>
    <t>Richard Humphrey</t>
  </si>
  <si>
    <t>HUBBARD</t>
  </si>
  <si>
    <t>Lil</t>
  </si>
  <si>
    <t>HURST</t>
  </si>
  <si>
    <t>Lewis</t>
  </si>
  <si>
    <t>MCCANTS</t>
  </si>
  <si>
    <t>MILNE</t>
  </si>
  <si>
    <t>BABATOLA</t>
  </si>
  <si>
    <t>Olu</t>
  </si>
  <si>
    <t>BALOGUN</t>
  </si>
  <si>
    <t>Ibrahim</t>
  </si>
  <si>
    <t>BRINKHURST</t>
  </si>
  <si>
    <t>Mandy</t>
  </si>
  <si>
    <t>BROOKER</t>
  </si>
  <si>
    <t>Matthew</t>
  </si>
  <si>
    <t>Adriana</t>
  </si>
  <si>
    <t>MEANEY</t>
  </si>
  <si>
    <t>Nicola Linda</t>
  </si>
  <si>
    <t>PETERSEN</t>
  </si>
  <si>
    <t>Anji Melanie</t>
  </si>
  <si>
    <t>SPENCE</t>
  </si>
  <si>
    <t>Roger</t>
  </si>
  <si>
    <t>TAGGART-RYAN</t>
  </si>
  <si>
    <t>Rachel</t>
  </si>
  <si>
    <t>BRIGHT</t>
  </si>
  <si>
    <t>CASE</t>
  </si>
  <si>
    <t>Charles</t>
  </si>
  <si>
    <t>DELAP</t>
  </si>
  <si>
    <t>Judy</t>
  </si>
  <si>
    <t>FIELDER</t>
  </si>
  <si>
    <t>GENTRY</t>
  </si>
  <si>
    <t>Paul</t>
  </si>
  <si>
    <t>HARTLEY</t>
  </si>
  <si>
    <t>JOSIAH</t>
  </si>
  <si>
    <t>PEMBERTON</t>
  </si>
  <si>
    <t>Alex</t>
  </si>
  <si>
    <t>RANCE</t>
  </si>
  <si>
    <t>RAPLEY</t>
  </si>
  <si>
    <t>Clara</t>
  </si>
  <si>
    <t>RULTON</t>
  </si>
  <si>
    <t>Curtis Vincent</t>
  </si>
  <si>
    <t>TESTER</t>
  </si>
  <si>
    <t>WARREN</t>
  </si>
  <si>
    <t>Luke</t>
  </si>
  <si>
    <t>AGHEDO</t>
  </si>
  <si>
    <t>Tammy</t>
  </si>
  <si>
    <t>ANOTY</t>
  </si>
  <si>
    <t>AVRAM</t>
  </si>
  <si>
    <t>Doinita</t>
  </si>
  <si>
    <t>CHUKWUMA</t>
  </si>
  <si>
    <t>Obidike</t>
  </si>
  <si>
    <t>DALMAYNE</t>
  </si>
  <si>
    <t>Emma</t>
  </si>
  <si>
    <t>FORD</t>
  </si>
  <si>
    <t>HEFFER</t>
  </si>
  <si>
    <t>Len</t>
  </si>
  <si>
    <t>KANDEL</t>
  </si>
  <si>
    <t>Narendra</t>
  </si>
  <si>
    <t>Your Party</t>
  </si>
  <si>
    <t>Michael Thomas</t>
  </si>
  <si>
    <t>KHAIREH</t>
  </si>
  <si>
    <t>Adel</t>
  </si>
  <si>
    <t>PHEBEY</t>
  </si>
  <si>
    <t>Peter</t>
  </si>
  <si>
    <t>PLATT</t>
  </si>
  <si>
    <t>Duncan Hugh</t>
  </si>
  <si>
    <t>RANABHAT</t>
  </si>
  <si>
    <t>Jit</t>
  </si>
  <si>
    <t>YOUNG</t>
  </si>
  <si>
    <t>BARRON</t>
  </si>
  <si>
    <t>Leonie Katherine</t>
  </si>
  <si>
    <t>BENNETT</t>
  </si>
  <si>
    <t>BLACKBURN</t>
  </si>
  <si>
    <t>Dee</t>
  </si>
  <si>
    <t>CHRISTIE</t>
  </si>
  <si>
    <t>Stewart</t>
  </si>
  <si>
    <t>COOKE</t>
  </si>
  <si>
    <t>Issy</t>
  </si>
  <si>
    <t>ERAZO</t>
  </si>
  <si>
    <t>Lenin</t>
  </si>
  <si>
    <t>GREENWOOD</t>
  </si>
  <si>
    <t>Elaine</t>
  </si>
  <si>
    <t>KHAN</t>
  </si>
  <si>
    <t>Mohammed</t>
  </si>
  <si>
    <t>LAKER</t>
  </si>
  <si>
    <t>Helen</t>
  </si>
  <si>
    <t>MONTEITH</t>
  </si>
  <si>
    <t>David Anthony</t>
  </si>
  <si>
    <t>PADHIAR</t>
  </si>
  <si>
    <t>Hetal</t>
  </si>
  <si>
    <t>PARKHURST</t>
  </si>
  <si>
    <t>Martha</t>
  </si>
  <si>
    <t>WHARTON</t>
  </si>
  <si>
    <t>Duncan</t>
  </si>
  <si>
    <t>WOODWARD</t>
  </si>
  <si>
    <t>Dorian</t>
  </si>
  <si>
    <t>DOWD</t>
  </si>
  <si>
    <t>FOLARANMI</t>
  </si>
  <si>
    <t>Timothy</t>
  </si>
  <si>
    <t>Max</t>
  </si>
  <si>
    <t>Steve</t>
  </si>
  <si>
    <t>RHYMES</t>
  </si>
  <si>
    <t>Tamasin</t>
  </si>
  <si>
    <t>SHEDDEN</t>
  </si>
  <si>
    <t>Kirstie</t>
  </si>
  <si>
    <t>SHUKER</t>
  </si>
  <si>
    <t>STAINTON</t>
  </si>
  <si>
    <t>Valerie</t>
  </si>
  <si>
    <t>SULLIVAN</t>
  </si>
  <si>
    <t>Kim</t>
  </si>
  <si>
    <t>WALKER</t>
  </si>
  <si>
    <t>CORNISH</t>
  </si>
  <si>
    <t>Tinu</t>
  </si>
  <si>
    <t>CROWHURST</t>
  </si>
  <si>
    <t>Keith</t>
  </si>
  <si>
    <t>DAVIES</t>
  </si>
  <si>
    <t>Jill Evelyn</t>
  </si>
  <si>
    <t>LEKAU</t>
  </si>
  <si>
    <t>Averil Ann</t>
  </si>
  <si>
    <t>MCCLELLAND</t>
  </si>
  <si>
    <t>Fergus French</t>
  </si>
  <si>
    <t>MORRIS</t>
  </si>
  <si>
    <t>Diane</t>
  </si>
  <si>
    <t>O`CONNOR</t>
  </si>
  <si>
    <t>Rhian</t>
  </si>
  <si>
    <t>SOLOLA</t>
  </si>
  <si>
    <t>Femi</t>
  </si>
  <si>
    <t>SYMES</t>
  </si>
  <si>
    <t>Philip</t>
  </si>
  <si>
    <t>WORRON</t>
  </si>
  <si>
    <t>Ezra</t>
  </si>
  <si>
    <t>BAFFOUR-AWUAH</t>
  </si>
  <si>
    <t>Nathan</t>
  </si>
  <si>
    <t>BREEDEN</t>
  </si>
  <si>
    <t>Kathryn</t>
  </si>
  <si>
    <t>DIAZ</t>
  </si>
  <si>
    <t>Raul</t>
  </si>
  <si>
    <t>GJOKA</t>
  </si>
  <si>
    <t>Josif</t>
  </si>
  <si>
    <t>HEDGES</t>
  </si>
  <si>
    <t>Samuel Alexander</t>
  </si>
  <si>
    <t>IDOWU</t>
  </si>
  <si>
    <t>Emmanuel</t>
  </si>
  <si>
    <t>SHITTU</t>
  </si>
  <si>
    <t>Ibrahim Owodunni</t>
  </si>
  <si>
    <t>SIYID</t>
  </si>
  <si>
    <t>Mursal</t>
  </si>
  <si>
    <t>SPENCER</t>
  </si>
  <si>
    <t>Jahdia</t>
  </si>
  <si>
    <t>AYODELE</t>
  </si>
  <si>
    <t>Joshua</t>
  </si>
  <si>
    <t>BOWERS</t>
  </si>
  <si>
    <t>BROWN</t>
  </si>
  <si>
    <t>BUDDEN</t>
  </si>
  <si>
    <t>Aileen</t>
  </si>
  <si>
    <t>JANODY</t>
  </si>
  <si>
    <t>Karen</t>
  </si>
  <si>
    <t>KALIA</t>
  </si>
  <si>
    <t>Sangeeta</t>
  </si>
  <si>
    <t>Tricia</t>
  </si>
  <si>
    <t>LITTLEWOOD</t>
  </si>
  <si>
    <t>LOCK</t>
  </si>
  <si>
    <t>MOORES</t>
  </si>
  <si>
    <t>Michaela</t>
  </si>
  <si>
    <t>NWABUDIKE</t>
  </si>
  <si>
    <t>Anthony Ikedife</t>
  </si>
  <si>
    <t>O`LEARY</t>
  </si>
  <si>
    <t>Hugh</t>
  </si>
  <si>
    <t>PERERA-DELCOURT</t>
  </si>
  <si>
    <t>Ramesh</t>
  </si>
  <si>
    <t>Jackie</t>
  </si>
  <si>
    <t>ABBATE</t>
  </si>
  <si>
    <t>Ulysse</t>
  </si>
  <si>
    <t>CECIL</t>
  </si>
  <si>
    <t>GARDINER</t>
  </si>
  <si>
    <t>Kirsty</t>
  </si>
  <si>
    <t>GLINSMAN</t>
  </si>
  <si>
    <t>IGE</t>
  </si>
  <si>
    <t>Elizabeth</t>
  </si>
  <si>
    <t>LONGHURST</t>
  </si>
  <si>
    <t>Sem</t>
  </si>
  <si>
    <t>MAYNE</t>
  </si>
  <si>
    <t>Selina Joyce</t>
  </si>
  <si>
    <t>Jonathan</t>
  </si>
  <si>
    <t>OKEREKE</t>
  </si>
  <si>
    <t>WILSON</t>
  </si>
  <si>
    <t>ADHIKARI</t>
  </si>
  <si>
    <t>BUTLER</t>
  </si>
  <si>
    <t>CHUNU</t>
  </si>
  <si>
    <t>David Ejakpofo</t>
  </si>
  <si>
    <t>CRACKNELL</t>
  </si>
  <si>
    <t>D.J.</t>
  </si>
  <si>
    <t>GIBBS</t>
  </si>
  <si>
    <t>Dakota</t>
  </si>
  <si>
    <t>GOSSINGTON</t>
  </si>
  <si>
    <t>Patricia</t>
  </si>
  <si>
    <t>KAYE</t>
  </si>
  <si>
    <t>MOHAMMED</t>
  </si>
  <si>
    <t>Asli</t>
  </si>
  <si>
    <t>PEKKOLA</t>
  </si>
  <si>
    <t>Matti</t>
  </si>
  <si>
    <t>Rozalia</t>
  </si>
  <si>
    <t>ZEESHAN</t>
  </si>
  <si>
    <t>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</si>
</sst>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1"/>
      <color theme="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NumberFormat="1" applyFont="1" applyBorder="1" applyAlignment="1">
      <alignment horizontal="left"/>
    </xf>
    <xf numFmtId="0" fontId="3" fillId="2" borderId="0" xfId="0" applyFont="1" applyFill="1"/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64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1" fontId="7" fillId="0" borderId="10" xfId="0" applyNumberFormat="1" applyFont="1" applyBorder="1"/>
    <xf numFmtId="1" fontId="7" fillId="0" borderId="0" xfId="0" applyNumberFormat="1" applyFont="1"/>
    <xf numFmtId="1" fontId="8" fillId="0" borderId="0" xfId="0" applyNumberFormat="1" applyFont="1" applyAlignment="1">
      <alignment vertical="top"/>
    </xf>
    <xf numFmtId="1" fontId="1" fillId="2" borderId="9" xfId="0" applyNumberFormat="1" applyFont="1" applyFill="1" applyBorder="1" applyAlignment="1">
      <alignment horizontal="center"/>
    </xf>
    <xf numFmtId="10" fontId="1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140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zoomScaleNormal="100" workbookViewId="0">
      <selection activeCell="G13" sqref="G13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47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6">
        <v>11481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7">
        <v>4250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9">
        <f>G8-G10</f>
        <v>3425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8">
        <v>825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0.37017681386638795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39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18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21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72</v>
      </c>
      <c r="C20" s="13" t="s">
        <v>73</v>
      </c>
      <c r="D20" s="13"/>
      <c r="E20" s="13" t="s">
        <v>74</v>
      </c>
      <c r="F20" s="14">
        <v>407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75</v>
      </c>
      <c r="C21" s="16" t="s">
        <v>76</v>
      </c>
      <c r="D21" s="16"/>
      <c r="E21" s="16" t="s">
        <v>77</v>
      </c>
      <c r="F21" s="17">
        <v>1273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78</v>
      </c>
      <c r="C22" s="16" t="s">
        <v>79</v>
      </c>
      <c r="D22" s="16"/>
      <c r="E22" s="16" t="s">
        <v>80</v>
      </c>
      <c r="F22" s="17">
        <v>783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81</v>
      </c>
      <c r="C23" s="16" t="s">
        <v>82</v>
      </c>
      <c r="D23" s="16"/>
      <c r="E23" s="16" t="s">
        <v>83</v>
      </c>
      <c r="F23" s="17">
        <v>1538</v>
      </c>
      <c r="G23" s="17" t="s">
        <v>108</v>
      </c>
      <c r="H23" s="9" t="s">
        <v>27</v>
      </c>
      <c r="I23" s="1"/>
    </row>
    <row r="24" spans="1:9" ht="14" x14ac:dyDescent="0.3">
      <c r="A24" s="6">
        <v>5</v>
      </c>
      <c r="B24" s="15" t="s">
        <v>84</v>
      </c>
      <c r="C24" s="16" t="s">
        <v>85</v>
      </c>
      <c r="D24" s="16"/>
      <c r="E24" s="16" t="s">
        <v>83</v>
      </c>
      <c r="F24" s="17">
        <v>1410</v>
      </c>
      <c r="G24" s="17" t="s">
        <v>108</v>
      </c>
      <c r="H24" s="9" t="s">
        <v>28</v>
      </c>
      <c r="I24" s="1"/>
    </row>
    <row r="25" spans="1:9" ht="14" x14ac:dyDescent="0.3">
      <c r="A25" s="6">
        <v>6</v>
      </c>
      <c r="B25" s="15" t="s">
        <v>86</v>
      </c>
      <c r="C25" s="16" t="s">
        <v>87</v>
      </c>
      <c r="D25" s="16"/>
      <c r="E25" s="16" t="s">
        <v>74</v>
      </c>
      <c r="F25" s="17">
        <v>357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88</v>
      </c>
      <c r="C26" s="16" t="s">
        <v>89</v>
      </c>
      <c r="D26" s="16"/>
      <c r="E26" s="16" t="s">
        <v>83</v>
      </c>
      <c r="F26" s="17">
        <v>1292</v>
      </c>
      <c r="G26" s="17" t="s">
        <v>108</v>
      </c>
      <c r="H26" s="9" t="s">
        <v>30</v>
      </c>
      <c r="I26" s="1"/>
    </row>
    <row r="27" spans="1:9" ht="14" x14ac:dyDescent="0.3">
      <c r="A27" s="6">
        <v>8</v>
      </c>
      <c r="B27" s="15" t="s">
        <v>90</v>
      </c>
      <c r="C27" s="16" t="s">
        <v>91</v>
      </c>
      <c r="D27" s="16"/>
      <c r="E27" s="16" t="s">
        <v>92</v>
      </c>
      <c r="F27" s="17">
        <v>968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93</v>
      </c>
      <c r="C28" s="16" t="s">
        <v>94</v>
      </c>
      <c r="D28" s="16"/>
      <c r="E28" s="16" t="s">
        <v>95</v>
      </c>
      <c r="F28" s="17">
        <v>202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93</v>
      </c>
      <c r="C29" s="16" t="s">
        <v>96</v>
      </c>
      <c r="D29" s="16"/>
      <c r="E29" s="16" t="s">
        <v>95</v>
      </c>
      <c r="F29" s="17">
        <v>166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97</v>
      </c>
      <c r="C30" s="16" t="s">
        <v>98</v>
      </c>
      <c r="D30" s="16"/>
      <c r="E30" s="16" t="s">
        <v>80</v>
      </c>
      <c r="F30" s="17">
        <v>177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99</v>
      </c>
      <c r="C31" s="16" t="s">
        <v>100</v>
      </c>
      <c r="D31" s="16"/>
      <c r="E31" s="16" t="s">
        <v>92</v>
      </c>
      <c r="F31" s="17">
        <v>937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101</v>
      </c>
      <c r="C32" s="16" t="s">
        <v>102</v>
      </c>
      <c r="D32" s="16"/>
      <c r="E32" s="16" t="s">
        <v>77</v>
      </c>
      <c r="F32" s="17">
        <v>1083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103</v>
      </c>
      <c r="C33" s="16" t="s">
        <v>87</v>
      </c>
      <c r="D33" s="16"/>
      <c r="E33" s="16" t="s">
        <v>95</v>
      </c>
      <c r="F33" s="17">
        <v>140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104</v>
      </c>
      <c r="C34" s="16" t="s">
        <v>105</v>
      </c>
      <c r="D34" s="16"/>
      <c r="E34" s="16" t="s">
        <v>92</v>
      </c>
      <c r="F34" s="17">
        <v>910</v>
      </c>
      <c r="G34" s="17"/>
      <c r="H34" s="9" t="s">
        <v>38</v>
      </c>
      <c r="I34" s="1"/>
    </row>
    <row r="35" spans="1:9" ht="14" x14ac:dyDescent="0.3">
      <c r="A35" s="6">
        <v>16</v>
      </c>
      <c r="B35" s="15" t="s">
        <v>106</v>
      </c>
      <c r="C35" s="16" t="s">
        <v>107</v>
      </c>
      <c r="D35" s="16"/>
      <c r="E35" s="16" t="s">
        <v>74</v>
      </c>
      <c r="F35" s="17">
        <v>273</v>
      </c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35 E20:F35 B36:E40">
    <cfRule type="expression" dxfId="139" priority="9" stopIfTrue="1">
      <formula>MOD(ROW(),2)=0</formula>
    </cfRule>
    <cfRule type="expression" dxfId="138" priority="10" stopIfTrue="1">
      <formula>MOD(ROW(),2)=1</formula>
    </cfRule>
  </conditionalFormatting>
  <conditionalFormatting sqref="C20:D20">
    <cfRule type="expression" dxfId="137" priority="7" stopIfTrue="1">
      <formula>MOD(ROW(),2)=0</formula>
    </cfRule>
    <cfRule type="expression" dxfId="136" priority="8" stopIfTrue="1">
      <formula>MOD(ROW(),2)=1</formula>
    </cfRule>
  </conditionalFormatting>
  <conditionalFormatting sqref="D20:D35">
    <cfRule type="expression" dxfId="135" priority="1" stopIfTrue="1">
      <formula>MOD(ROW(),2)=0</formula>
    </cfRule>
    <cfRule type="expression" dxfId="134" priority="2" stopIfTrue="1">
      <formula>MOD(ROW(),2)=1</formula>
    </cfRule>
  </conditionalFormatting>
  <conditionalFormatting sqref="F20:G40">
    <cfRule type="expression" dxfId="133" priority="3" stopIfTrue="1">
      <formula>MOD(ROW(),2)=0</formula>
    </cfRule>
    <cfRule type="expression" dxfId="132" priority="4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zoomScaleNormal="100" workbookViewId="0">
      <selection activeCell="G18" sqref="G18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49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6">
        <v>10965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7">
        <v>5901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9">
        <f>G8-G10</f>
        <v>5076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8">
        <v>825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0.53816689466484269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SUM(G13:G16)</f>
        <v>39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33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109</v>
      </c>
      <c r="C20" s="13" t="s">
        <v>110</v>
      </c>
      <c r="E20" s="13" t="s">
        <v>111</v>
      </c>
      <c r="F20" s="14">
        <v>121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112</v>
      </c>
      <c r="C21" s="16" t="s">
        <v>113</v>
      </c>
      <c r="E21" s="16" t="s">
        <v>74</v>
      </c>
      <c r="F21" s="17">
        <v>1510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114</v>
      </c>
      <c r="C22" s="16" t="s">
        <v>115</v>
      </c>
      <c r="E22" s="16" t="s">
        <v>116</v>
      </c>
      <c r="F22" s="17">
        <v>1844</v>
      </c>
      <c r="G22" s="17" t="s">
        <v>108</v>
      </c>
      <c r="H22" s="9" t="s">
        <v>26</v>
      </c>
      <c r="I22" s="1"/>
    </row>
    <row r="23" spans="1:9" ht="14" x14ac:dyDescent="0.3">
      <c r="A23" s="6">
        <v>4</v>
      </c>
      <c r="B23" s="15" t="s">
        <v>117</v>
      </c>
      <c r="C23" s="16" t="s">
        <v>118</v>
      </c>
      <c r="E23" s="16" t="s">
        <v>77</v>
      </c>
      <c r="F23" s="17">
        <v>1557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119</v>
      </c>
      <c r="C24" s="16" t="s">
        <v>120</v>
      </c>
      <c r="E24" s="16" t="s">
        <v>95</v>
      </c>
      <c r="F24" s="17">
        <v>642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121</v>
      </c>
      <c r="C25" s="16" t="s">
        <v>122</v>
      </c>
      <c r="E25" s="16" t="s">
        <v>95</v>
      </c>
      <c r="F25" s="17">
        <v>647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123</v>
      </c>
      <c r="C26" s="16" t="s">
        <v>124</v>
      </c>
      <c r="E26" s="16" t="s">
        <v>92</v>
      </c>
      <c r="F26" s="17">
        <v>627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125</v>
      </c>
      <c r="C27" s="16" t="s">
        <v>126</v>
      </c>
      <c r="E27" s="16" t="s">
        <v>92</v>
      </c>
      <c r="F27" s="17">
        <v>519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127</v>
      </c>
      <c r="C28" s="16" t="s">
        <v>128</v>
      </c>
      <c r="E28" s="16" t="s">
        <v>116</v>
      </c>
      <c r="F28" s="17">
        <v>1848</v>
      </c>
      <c r="G28" s="17" t="s">
        <v>108</v>
      </c>
      <c r="H28" s="9" t="s">
        <v>32</v>
      </c>
      <c r="I28" s="1"/>
    </row>
    <row r="29" spans="1:9" ht="14" x14ac:dyDescent="0.3">
      <c r="A29" s="6">
        <v>10</v>
      </c>
      <c r="B29" s="15" t="s">
        <v>129</v>
      </c>
      <c r="C29" s="16" t="s">
        <v>130</v>
      </c>
      <c r="E29" s="16" t="s">
        <v>77</v>
      </c>
      <c r="F29" s="17">
        <v>1502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131</v>
      </c>
      <c r="C30" s="16" t="s">
        <v>132</v>
      </c>
      <c r="E30" s="16" t="s">
        <v>74</v>
      </c>
      <c r="F30" s="17">
        <v>1130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133</v>
      </c>
      <c r="C31" s="16" t="s">
        <v>134</v>
      </c>
      <c r="E31" s="16" t="s">
        <v>116</v>
      </c>
      <c r="F31" s="17">
        <v>1715</v>
      </c>
      <c r="G31" s="17" t="s">
        <v>108</v>
      </c>
      <c r="H31" s="9" t="s">
        <v>35</v>
      </c>
      <c r="I31" s="1"/>
    </row>
    <row r="32" spans="1:9" ht="14" x14ac:dyDescent="0.3">
      <c r="A32" s="6">
        <v>13</v>
      </c>
      <c r="B32" s="15" t="s">
        <v>135</v>
      </c>
      <c r="C32" s="16" t="s">
        <v>136</v>
      </c>
      <c r="E32" s="16" t="s">
        <v>77</v>
      </c>
      <c r="F32" s="17">
        <v>1400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137</v>
      </c>
      <c r="C33" s="16" t="s">
        <v>138</v>
      </c>
      <c r="E33" s="16" t="s">
        <v>95</v>
      </c>
      <c r="F33" s="17">
        <v>652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139</v>
      </c>
      <c r="C34" s="16" t="s">
        <v>140</v>
      </c>
      <c r="E34" s="16" t="s">
        <v>74</v>
      </c>
      <c r="F34" s="17">
        <v>1132</v>
      </c>
      <c r="G34" s="17"/>
      <c r="H34" s="9" t="s">
        <v>38</v>
      </c>
      <c r="I34" s="1"/>
    </row>
    <row r="35" spans="1:9" ht="14" x14ac:dyDescent="0.3">
      <c r="A35" s="6">
        <v>16</v>
      </c>
      <c r="B35" s="15" t="s">
        <v>141</v>
      </c>
      <c r="C35" s="16" t="s">
        <v>142</v>
      </c>
      <c r="E35" s="16" t="s">
        <v>92</v>
      </c>
      <c r="F35" s="17">
        <v>489</v>
      </c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35 E20:F35 B36:E40">
    <cfRule type="expression" dxfId="131" priority="7" stopIfTrue="1">
      <formula>MOD(ROW(),2)=0</formula>
    </cfRule>
    <cfRule type="expression" dxfId="130" priority="8" stopIfTrue="1">
      <formula>MOD(ROW(),2)=1</formula>
    </cfRule>
  </conditionalFormatting>
  <conditionalFormatting sqref="C20">
    <cfRule type="expression" dxfId="129" priority="5" stopIfTrue="1">
      <formula>MOD(ROW(),2)=0</formula>
    </cfRule>
    <cfRule type="expression" dxfId="128" priority="6" stopIfTrue="1">
      <formula>MOD(ROW(),2)=1</formula>
    </cfRule>
  </conditionalFormatting>
  <conditionalFormatting sqref="F20:G40">
    <cfRule type="expression" dxfId="127" priority="1" stopIfTrue="1">
      <formula>MOD(ROW(),2)=0</formula>
    </cfRule>
    <cfRule type="expression" dxfId="12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topLeftCell="A3" zoomScaleNormal="100" workbookViewId="0">
      <selection activeCell="G7" sqref="G7:G17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50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7392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3549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2855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694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0.48011363636363635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20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10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10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143</v>
      </c>
      <c r="C20" s="13" t="s">
        <v>144</v>
      </c>
      <c r="E20" s="13" t="s">
        <v>83</v>
      </c>
      <c r="F20" s="14">
        <v>1207</v>
      </c>
      <c r="G20" s="14" t="s">
        <v>108</v>
      </c>
      <c r="H20" s="9" t="s">
        <v>24</v>
      </c>
      <c r="I20" s="1"/>
    </row>
    <row r="21" spans="1:9" ht="14" x14ac:dyDescent="0.3">
      <c r="A21" s="6">
        <v>2</v>
      </c>
      <c r="B21" s="15" t="s">
        <v>145</v>
      </c>
      <c r="C21" s="16" t="s">
        <v>146</v>
      </c>
      <c r="E21" s="16" t="s">
        <v>95</v>
      </c>
      <c r="F21" s="17">
        <v>258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147</v>
      </c>
      <c r="C22" s="16" t="s">
        <v>148</v>
      </c>
      <c r="E22" s="16" t="s">
        <v>92</v>
      </c>
      <c r="F22" s="17">
        <v>587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149</v>
      </c>
      <c r="C23" s="16" t="s">
        <v>150</v>
      </c>
      <c r="E23" s="16" t="s">
        <v>74</v>
      </c>
      <c r="F23" s="17">
        <v>340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151</v>
      </c>
      <c r="C24" s="16" t="s">
        <v>152</v>
      </c>
      <c r="E24" s="16" t="s">
        <v>83</v>
      </c>
      <c r="F24" s="17">
        <v>1022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153</v>
      </c>
      <c r="C25" s="16" t="s">
        <v>154</v>
      </c>
      <c r="E25" s="16" t="s">
        <v>77</v>
      </c>
      <c r="F25" s="17">
        <v>1289</v>
      </c>
      <c r="G25" s="17" t="s">
        <v>108</v>
      </c>
      <c r="H25" s="9" t="s">
        <v>29</v>
      </c>
      <c r="I25" s="1"/>
    </row>
    <row r="26" spans="1:9" ht="14" x14ac:dyDescent="0.3">
      <c r="A26" s="6">
        <v>7</v>
      </c>
      <c r="B26" s="15" t="s">
        <v>155</v>
      </c>
      <c r="C26" s="16" t="s">
        <v>156</v>
      </c>
      <c r="E26" s="16" t="s">
        <v>92</v>
      </c>
      <c r="F26" s="17">
        <v>558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157</v>
      </c>
      <c r="C27" s="16" t="s">
        <v>158</v>
      </c>
      <c r="E27" s="16" t="s">
        <v>77</v>
      </c>
      <c r="F27" s="17">
        <v>1189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139</v>
      </c>
      <c r="C28" s="16" t="s">
        <v>159</v>
      </c>
      <c r="E28" s="16" t="s">
        <v>74</v>
      </c>
      <c r="F28" s="17">
        <v>293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160</v>
      </c>
      <c r="C29" s="16" t="s">
        <v>161</v>
      </c>
      <c r="E29" s="16" t="s">
        <v>95</v>
      </c>
      <c r="F29" s="17">
        <v>189</v>
      </c>
      <c r="G29" s="17"/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29 E20:F29 B30:E40">
    <cfRule type="expression" dxfId="125" priority="7" stopIfTrue="1">
      <formula>MOD(ROW(),2)=0</formula>
    </cfRule>
    <cfRule type="expression" dxfId="124" priority="8" stopIfTrue="1">
      <formula>MOD(ROW(),2)=1</formula>
    </cfRule>
  </conditionalFormatting>
  <conditionalFormatting sqref="C20">
    <cfRule type="expression" dxfId="123" priority="5" stopIfTrue="1">
      <formula>MOD(ROW(),2)=0</formula>
    </cfRule>
    <cfRule type="expression" dxfId="122" priority="6" stopIfTrue="1">
      <formula>MOD(ROW(),2)=1</formula>
    </cfRule>
  </conditionalFormatting>
  <conditionalFormatting sqref="F20:G40">
    <cfRule type="expression" dxfId="121" priority="1" stopIfTrue="1">
      <formula>MOD(ROW(),2)=0</formula>
    </cfRule>
    <cfRule type="expression" dxfId="12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topLeftCell="A2" zoomScaleNormal="100" workbookViewId="0">
      <selection activeCell="G7" sqref="G7:G17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52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6915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2391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1806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585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0.3457700650759219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12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162</v>
      </c>
      <c r="C20" s="13" t="s">
        <v>163</v>
      </c>
      <c r="E20" s="13" t="s">
        <v>92</v>
      </c>
      <c r="F20" s="14">
        <v>434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164</v>
      </c>
      <c r="C21" s="16" t="s">
        <v>165</v>
      </c>
      <c r="E21" s="16" t="s">
        <v>77</v>
      </c>
      <c r="F21" s="17">
        <v>978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166</v>
      </c>
      <c r="C22" s="16" t="s">
        <v>167</v>
      </c>
      <c r="E22" s="16" t="s">
        <v>77</v>
      </c>
      <c r="F22" s="17">
        <v>912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168</v>
      </c>
      <c r="C23" s="16" t="s">
        <v>169</v>
      </c>
      <c r="E23" s="16" t="s">
        <v>92</v>
      </c>
      <c r="F23" s="17">
        <v>422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170</v>
      </c>
      <c r="C24" s="16" t="s">
        <v>171</v>
      </c>
      <c r="E24" s="16" t="s">
        <v>116</v>
      </c>
      <c r="F24" s="17">
        <v>1174</v>
      </c>
      <c r="G24" s="17" t="s">
        <v>180</v>
      </c>
      <c r="H24" s="9" t="s">
        <v>28</v>
      </c>
      <c r="I24" s="1"/>
    </row>
    <row r="25" spans="1:9" ht="14" x14ac:dyDescent="0.3">
      <c r="A25" s="6">
        <v>6</v>
      </c>
      <c r="B25" s="15" t="s">
        <v>172</v>
      </c>
      <c r="C25" s="16" t="s">
        <v>113</v>
      </c>
      <c r="E25" s="16" t="s">
        <v>95</v>
      </c>
      <c r="F25" s="17">
        <v>180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173</v>
      </c>
      <c r="C26" s="16" t="s">
        <v>140</v>
      </c>
      <c r="E26" s="16" t="s">
        <v>95</v>
      </c>
      <c r="F26" s="17">
        <v>163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174</v>
      </c>
      <c r="C27" s="16" t="s">
        <v>175</v>
      </c>
      <c r="E27" s="16" t="s">
        <v>74</v>
      </c>
      <c r="F27" s="17">
        <v>214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176</v>
      </c>
      <c r="C28" s="16" t="s">
        <v>177</v>
      </c>
      <c r="E28" s="16" t="s">
        <v>74</v>
      </c>
      <c r="F28" s="17">
        <v>175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178</v>
      </c>
      <c r="C29" s="16" t="s">
        <v>179</v>
      </c>
      <c r="E29" s="16" t="s">
        <v>116</v>
      </c>
      <c r="F29" s="17">
        <v>1065</v>
      </c>
      <c r="G29" s="17" t="s">
        <v>180</v>
      </c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29 E20:F29 B30:E40">
    <cfRule type="expression" dxfId="119" priority="7" stopIfTrue="1">
      <formula>MOD(ROW(),2)=0</formula>
    </cfRule>
    <cfRule type="expression" dxfId="118" priority="8" stopIfTrue="1">
      <formula>MOD(ROW(),2)=1</formula>
    </cfRule>
  </conditionalFormatting>
  <conditionalFormatting sqref="C20">
    <cfRule type="expression" dxfId="117" priority="5" stopIfTrue="1">
      <formula>MOD(ROW(),2)=0</formula>
    </cfRule>
    <cfRule type="expression" dxfId="116" priority="6" stopIfTrue="1">
      <formula>MOD(ROW(),2)=1</formula>
    </cfRule>
  </conditionalFormatting>
  <conditionalFormatting sqref="F20:G40">
    <cfRule type="expression" dxfId="115" priority="1" stopIfTrue="1">
      <formula>MOD(ROW(),2)=0</formula>
    </cfRule>
    <cfRule type="expression" dxfId="11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topLeftCell="A12" zoomScaleNormal="100" workbookViewId="0">
      <selection activeCell="G28" sqref="G28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53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10432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4523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3375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1148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0.43356978527607359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36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9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27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181</v>
      </c>
      <c r="C20" s="13" t="s">
        <v>182</v>
      </c>
      <c r="E20" s="13" t="s">
        <v>74</v>
      </c>
      <c r="F20" s="14">
        <v>434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183</v>
      </c>
      <c r="C21" s="16" t="s">
        <v>184</v>
      </c>
      <c r="E21" s="16" t="s">
        <v>74</v>
      </c>
      <c r="F21" s="17">
        <v>406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185</v>
      </c>
      <c r="C22" s="16" t="s">
        <v>186</v>
      </c>
      <c r="E22" s="16" t="s">
        <v>83</v>
      </c>
      <c r="F22" s="17">
        <v>1341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187</v>
      </c>
      <c r="C23" s="16" t="s">
        <v>188</v>
      </c>
      <c r="E23" s="16" t="s">
        <v>77</v>
      </c>
      <c r="F23" s="17">
        <v>1899</v>
      </c>
      <c r="G23" s="17" t="s">
        <v>108</v>
      </c>
      <c r="H23" s="9" t="s">
        <v>27</v>
      </c>
      <c r="I23" s="1"/>
    </row>
    <row r="24" spans="1:9" ht="14" x14ac:dyDescent="0.3">
      <c r="A24" s="6">
        <v>5</v>
      </c>
      <c r="B24" s="15" t="s">
        <v>189</v>
      </c>
      <c r="C24" s="16" t="s">
        <v>190</v>
      </c>
      <c r="E24" s="16" t="s">
        <v>77</v>
      </c>
      <c r="F24" s="17">
        <v>1845</v>
      </c>
      <c r="G24" s="17" t="s">
        <v>108</v>
      </c>
      <c r="H24" s="9" t="s">
        <v>28</v>
      </c>
      <c r="I24" s="1"/>
    </row>
    <row r="25" spans="1:9" ht="14" x14ac:dyDescent="0.3">
      <c r="A25" s="6">
        <v>6</v>
      </c>
      <c r="B25" s="15" t="s">
        <v>191</v>
      </c>
      <c r="C25" s="16" t="s">
        <v>192</v>
      </c>
      <c r="E25" s="16" t="s">
        <v>95</v>
      </c>
      <c r="F25" s="17">
        <v>298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155</v>
      </c>
      <c r="C26" s="16" t="s">
        <v>193</v>
      </c>
      <c r="E26" s="16" t="s">
        <v>92</v>
      </c>
      <c r="F26" s="17">
        <v>523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194</v>
      </c>
      <c r="C27" s="16" t="s">
        <v>179</v>
      </c>
      <c r="E27" s="16" t="s">
        <v>77</v>
      </c>
      <c r="F27" s="17">
        <v>1927</v>
      </c>
      <c r="G27" s="17" t="s">
        <v>108</v>
      </c>
      <c r="H27" s="9" t="s">
        <v>31</v>
      </c>
      <c r="I27" s="1"/>
    </row>
    <row r="28" spans="1:9" ht="14" x14ac:dyDescent="0.3">
      <c r="A28" s="6">
        <v>9</v>
      </c>
      <c r="B28" s="15" t="s">
        <v>195</v>
      </c>
      <c r="C28" s="16" t="s">
        <v>196</v>
      </c>
      <c r="E28" s="16" t="s">
        <v>92</v>
      </c>
      <c r="F28" s="17">
        <v>492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197</v>
      </c>
      <c r="C29" s="16" t="s">
        <v>198</v>
      </c>
      <c r="E29" s="16" t="s">
        <v>83</v>
      </c>
      <c r="F29" s="17">
        <v>1267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199</v>
      </c>
      <c r="C30" s="16" t="s">
        <v>200</v>
      </c>
      <c r="E30" s="16" t="s">
        <v>83</v>
      </c>
      <c r="F30" s="17">
        <v>1437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201</v>
      </c>
      <c r="C31" s="16" t="s">
        <v>202</v>
      </c>
      <c r="E31" s="16" t="s">
        <v>95</v>
      </c>
      <c r="F31" s="17">
        <v>252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203</v>
      </c>
      <c r="C32" s="16" t="s">
        <v>204</v>
      </c>
      <c r="E32" s="16" t="s">
        <v>92</v>
      </c>
      <c r="F32" s="17">
        <v>506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205</v>
      </c>
      <c r="C33" s="16" t="s">
        <v>206</v>
      </c>
      <c r="E33" s="16" t="s">
        <v>95</v>
      </c>
      <c r="F33" s="17">
        <v>246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207</v>
      </c>
      <c r="C34" s="16" t="s">
        <v>208</v>
      </c>
      <c r="E34" s="16" t="s">
        <v>74</v>
      </c>
      <c r="F34" s="17">
        <v>340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34 E20:F34 B35:E40">
    <cfRule type="expression" dxfId="113" priority="7" stopIfTrue="1">
      <formula>MOD(ROW(),2)=0</formula>
    </cfRule>
    <cfRule type="expression" dxfId="112" priority="8" stopIfTrue="1">
      <formula>MOD(ROW(),2)=1</formula>
    </cfRule>
  </conditionalFormatting>
  <conditionalFormatting sqref="C20">
    <cfRule type="expression" dxfId="111" priority="5" stopIfTrue="1">
      <formula>MOD(ROW(),2)=0</formula>
    </cfRule>
    <cfRule type="expression" dxfId="110" priority="6" stopIfTrue="1">
      <formula>MOD(ROW(),2)=1</formula>
    </cfRule>
  </conditionalFormatting>
  <conditionalFormatting sqref="F20:G40">
    <cfRule type="expression" dxfId="109" priority="1" stopIfTrue="1">
      <formula>MOD(ROW(),2)=0</formula>
    </cfRule>
    <cfRule type="expression" dxfId="10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topLeftCell="A6" zoomScaleNormal="100" workbookViewId="0">
      <selection activeCell="G22" sqref="G22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54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6716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2719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1963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756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0.40485407980941035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24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8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16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209</v>
      </c>
      <c r="C20" s="13" t="s">
        <v>210</v>
      </c>
      <c r="E20" s="13" t="s">
        <v>92</v>
      </c>
      <c r="F20" s="14">
        <v>940</v>
      </c>
      <c r="G20" s="14" t="s">
        <v>108</v>
      </c>
      <c r="H20" s="9" t="s">
        <v>24</v>
      </c>
      <c r="I20" s="1"/>
    </row>
    <row r="21" spans="1:9" ht="14" x14ac:dyDescent="0.3">
      <c r="A21" s="6">
        <v>2</v>
      </c>
      <c r="B21" s="15" t="s">
        <v>211</v>
      </c>
      <c r="C21" s="16" t="s">
        <v>212</v>
      </c>
      <c r="E21" s="16" t="s">
        <v>116</v>
      </c>
      <c r="F21" s="17">
        <v>912</v>
      </c>
      <c r="G21" s="17" t="s">
        <v>108</v>
      </c>
      <c r="H21" s="9" t="s">
        <v>25</v>
      </c>
      <c r="I21" s="1"/>
    </row>
    <row r="22" spans="1:9" ht="14" x14ac:dyDescent="0.3">
      <c r="A22" s="6">
        <v>3</v>
      </c>
      <c r="B22" s="15" t="s">
        <v>213</v>
      </c>
      <c r="C22" s="16" t="s">
        <v>214</v>
      </c>
      <c r="E22" s="16" t="s">
        <v>74</v>
      </c>
      <c r="F22" s="17">
        <v>380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215</v>
      </c>
      <c r="C23" s="16" t="s">
        <v>216</v>
      </c>
      <c r="E23" s="16" t="s">
        <v>77</v>
      </c>
      <c r="F23" s="17">
        <v>465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217</v>
      </c>
      <c r="C24" s="16" t="s">
        <v>218</v>
      </c>
      <c r="E24" s="16" t="s">
        <v>116</v>
      </c>
      <c r="F24" s="17">
        <v>797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219</v>
      </c>
      <c r="C25" s="16" t="s">
        <v>220</v>
      </c>
      <c r="E25" s="16" t="s">
        <v>95</v>
      </c>
      <c r="F25" s="17">
        <v>124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221</v>
      </c>
      <c r="C26" s="16" t="s">
        <v>222</v>
      </c>
      <c r="E26" s="16" t="s">
        <v>92</v>
      </c>
      <c r="F26" s="17">
        <v>790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223</v>
      </c>
      <c r="C27" s="16" t="s">
        <v>124</v>
      </c>
      <c r="E27" s="16" t="s">
        <v>77</v>
      </c>
      <c r="F27" s="17">
        <v>400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224</v>
      </c>
      <c r="C28" s="16" t="s">
        <v>225</v>
      </c>
      <c r="E28" s="16" t="s">
        <v>74</v>
      </c>
      <c r="F28" s="17">
        <v>303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226</v>
      </c>
      <c r="C29" s="16" t="s">
        <v>227</v>
      </c>
      <c r="E29" s="16" t="s">
        <v>95</v>
      </c>
      <c r="F29" s="17">
        <v>98</v>
      </c>
      <c r="G29" s="17"/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29 E20:F29 B30:E40">
    <cfRule type="expression" dxfId="107" priority="7" stopIfTrue="1">
      <formula>MOD(ROW(),2)=0</formula>
    </cfRule>
    <cfRule type="expression" dxfId="106" priority="8" stopIfTrue="1">
      <formula>MOD(ROW(),2)=1</formula>
    </cfRule>
  </conditionalFormatting>
  <conditionalFormatting sqref="C20">
    <cfRule type="expression" dxfId="105" priority="5" stopIfTrue="1">
      <formula>MOD(ROW(),2)=0</formula>
    </cfRule>
    <cfRule type="expression" dxfId="104" priority="6" stopIfTrue="1">
      <formula>MOD(ROW(),2)=1</formula>
    </cfRule>
  </conditionalFormatting>
  <conditionalFormatting sqref="F20:G40">
    <cfRule type="expression" dxfId="103" priority="1" stopIfTrue="1">
      <formula>MOD(ROW(),2)=0</formula>
    </cfRule>
    <cfRule type="expression" dxfId="10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topLeftCell="A6" zoomScaleNormal="100" workbookViewId="0">
      <selection activeCell="G29" sqref="G29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55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7775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4487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3467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1020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0.57710610932475881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22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10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10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228</v>
      </c>
      <c r="C20" s="13" t="s">
        <v>229</v>
      </c>
      <c r="E20" s="13" t="s">
        <v>92</v>
      </c>
      <c r="F20" s="14">
        <v>1106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230</v>
      </c>
      <c r="C21" s="16" t="s">
        <v>231</v>
      </c>
      <c r="E21" s="16" t="s">
        <v>74</v>
      </c>
      <c r="F21" s="17">
        <v>882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232</v>
      </c>
      <c r="C22" s="16" t="s">
        <v>102</v>
      </c>
      <c r="E22" s="16" t="s">
        <v>74</v>
      </c>
      <c r="F22" s="17">
        <v>974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213</v>
      </c>
      <c r="C23" s="16" t="s">
        <v>233</v>
      </c>
      <c r="E23" s="16" t="s">
        <v>77</v>
      </c>
      <c r="F23" s="17">
        <v>862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234</v>
      </c>
      <c r="C24" s="16" t="s">
        <v>206</v>
      </c>
      <c r="E24" s="16" t="s">
        <v>95</v>
      </c>
      <c r="F24" s="17">
        <v>249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235</v>
      </c>
      <c r="C25" s="16" t="s">
        <v>236</v>
      </c>
      <c r="E25" s="16" t="s">
        <v>116</v>
      </c>
      <c r="F25" s="17">
        <v>1317</v>
      </c>
      <c r="G25" s="17" t="s">
        <v>108</v>
      </c>
      <c r="H25" s="9" t="s">
        <v>29</v>
      </c>
      <c r="I25" s="1"/>
    </row>
    <row r="26" spans="1:9" ht="14" x14ac:dyDescent="0.3">
      <c r="A26" s="6">
        <v>7</v>
      </c>
      <c r="B26" s="15" t="s">
        <v>237</v>
      </c>
      <c r="C26" s="16" t="s">
        <v>238</v>
      </c>
      <c r="E26" s="16" t="s">
        <v>92</v>
      </c>
      <c r="F26" s="17">
        <v>1064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239</v>
      </c>
      <c r="C27" s="16" t="s">
        <v>240</v>
      </c>
      <c r="E27" s="16" t="s">
        <v>77</v>
      </c>
      <c r="F27" s="17">
        <v>782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241</v>
      </c>
      <c r="C28" s="16" t="s">
        <v>242</v>
      </c>
      <c r="E28" s="16" t="s">
        <v>116</v>
      </c>
      <c r="F28" s="17">
        <v>1263</v>
      </c>
      <c r="G28" s="17" t="s">
        <v>108</v>
      </c>
      <c r="H28" s="9" t="s">
        <v>32</v>
      </c>
      <c r="I28" s="1"/>
    </row>
    <row r="29" spans="1:9" ht="14" x14ac:dyDescent="0.3">
      <c r="A29" s="6">
        <v>10</v>
      </c>
      <c r="B29" s="15" t="s">
        <v>243</v>
      </c>
      <c r="C29" s="16" t="s">
        <v>244</v>
      </c>
      <c r="E29" s="16" t="s">
        <v>95</v>
      </c>
      <c r="F29" s="17">
        <v>218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245</v>
      </c>
      <c r="C30" s="16" t="s">
        <v>246</v>
      </c>
      <c r="E30" s="16" t="s">
        <v>80</v>
      </c>
      <c r="F30" s="17">
        <v>42</v>
      </c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30 E20:F30 B31:E40">
    <cfRule type="expression" dxfId="101" priority="7" stopIfTrue="1">
      <formula>MOD(ROW(),2)=0</formula>
    </cfRule>
    <cfRule type="expression" dxfId="100" priority="8" stopIfTrue="1">
      <formula>MOD(ROW(),2)=1</formula>
    </cfRule>
  </conditionalFormatting>
  <conditionalFormatting sqref="C20">
    <cfRule type="expression" dxfId="99" priority="5" stopIfTrue="1">
      <formula>MOD(ROW(),2)=0</formula>
    </cfRule>
    <cfRule type="expression" dxfId="98" priority="6" stopIfTrue="1">
      <formula>MOD(ROW(),2)=1</formula>
    </cfRule>
  </conditionalFormatting>
  <conditionalFormatting sqref="F20:G40">
    <cfRule type="expression" dxfId="97" priority="1" stopIfTrue="1">
      <formula>MOD(ROW(),2)=0</formula>
    </cfRule>
    <cfRule type="expression" dxfId="9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topLeftCell="A10" zoomScaleNormal="100" workbookViewId="0">
      <selection activeCell="G32" sqref="G32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56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10901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5463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3981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1482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0.50114668379047789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24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9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3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12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247</v>
      </c>
      <c r="C20" s="13" t="s">
        <v>248</v>
      </c>
      <c r="E20" s="13" t="s">
        <v>83</v>
      </c>
      <c r="F20" s="14">
        <v>1257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209</v>
      </c>
      <c r="C21" s="16" t="s">
        <v>249</v>
      </c>
      <c r="E21" s="16" t="s">
        <v>92</v>
      </c>
      <c r="F21" s="17">
        <v>1393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250</v>
      </c>
      <c r="C22" s="16" t="s">
        <v>251</v>
      </c>
      <c r="E22" s="16" t="s">
        <v>92</v>
      </c>
      <c r="F22" s="17">
        <v>1170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252</v>
      </c>
      <c r="C23" s="16" t="s">
        <v>253</v>
      </c>
      <c r="E23" s="16" t="s">
        <v>95</v>
      </c>
      <c r="F23" s="17">
        <v>234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254</v>
      </c>
      <c r="C24" s="16" t="s">
        <v>255</v>
      </c>
      <c r="E24" s="16" t="s">
        <v>95</v>
      </c>
      <c r="F24" s="17">
        <v>266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256</v>
      </c>
      <c r="C25" s="16" t="s">
        <v>257</v>
      </c>
      <c r="E25" s="16" t="s">
        <v>92</v>
      </c>
      <c r="F25" s="17">
        <v>1271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258</v>
      </c>
      <c r="C26" s="16" t="s">
        <v>259</v>
      </c>
      <c r="E26" s="16" t="s">
        <v>74</v>
      </c>
      <c r="F26" s="17">
        <v>2006</v>
      </c>
      <c r="G26" s="17" t="s">
        <v>108</v>
      </c>
      <c r="H26" s="9" t="s">
        <v>30</v>
      </c>
      <c r="I26" s="1"/>
    </row>
    <row r="27" spans="1:9" ht="14" x14ac:dyDescent="0.3">
      <c r="A27" s="6">
        <v>8</v>
      </c>
      <c r="B27" s="15" t="s">
        <v>260</v>
      </c>
      <c r="C27" s="16" t="s">
        <v>261</v>
      </c>
      <c r="E27" s="16" t="s">
        <v>74</v>
      </c>
      <c r="F27" s="17">
        <v>1893</v>
      </c>
      <c r="G27" s="17" t="s">
        <v>108</v>
      </c>
      <c r="H27" s="9" t="s">
        <v>31</v>
      </c>
      <c r="I27" s="1"/>
    </row>
    <row r="28" spans="1:9" ht="14" x14ac:dyDescent="0.3">
      <c r="A28" s="6">
        <v>9</v>
      </c>
      <c r="B28" s="15" t="s">
        <v>262</v>
      </c>
      <c r="C28" s="16" t="s">
        <v>263</v>
      </c>
      <c r="E28" s="16" t="s">
        <v>83</v>
      </c>
      <c r="F28" s="17">
        <v>1249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264</v>
      </c>
      <c r="C29" s="16" t="s">
        <v>265</v>
      </c>
      <c r="E29" s="16" t="s">
        <v>95</v>
      </c>
      <c r="F29" s="17">
        <v>222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266</v>
      </c>
      <c r="C30" s="16" t="s">
        <v>267</v>
      </c>
      <c r="E30" s="16" t="s">
        <v>77</v>
      </c>
      <c r="F30" s="17">
        <v>763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268</v>
      </c>
      <c r="C31" s="16" t="s">
        <v>269</v>
      </c>
      <c r="E31" s="16" t="s">
        <v>74</v>
      </c>
      <c r="F31" s="17">
        <v>1623</v>
      </c>
      <c r="G31" s="17" t="s">
        <v>108</v>
      </c>
      <c r="H31" s="9" t="s">
        <v>35</v>
      </c>
      <c r="I31" s="1"/>
    </row>
    <row r="32" spans="1:9" ht="14" x14ac:dyDescent="0.3">
      <c r="A32" s="6">
        <v>13</v>
      </c>
      <c r="B32" s="15" t="s">
        <v>270</v>
      </c>
      <c r="C32" s="16" t="s">
        <v>271</v>
      </c>
      <c r="E32" s="16" t="s">
        <v>77</v>
      </c>
      <c r="F32" s="17">
        <v>744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272</v>
      </c>
      <c r="C33" s="16" t="s">
        <v>159</v>
      </c>
      <c r="E33" s="16" t="s">
        <v>83</v>
      </c>
      <c r="F33" s="17">
        <v>1086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273</v>
      </c>
      <c r="C34" s="16" t="s">
        <v>274</v>
      </c>
      <c r="E34" s="16" t="s">
        <v>80</v>
      </c>
      <c r="F34" s="17">
        <v>157</v>
      </c>
      <c r="G34" s="17"/>
      <c r="H34" s="9" t="s">
        <v>38</v>
      </c>
      <c r="I34" s="1"/>
    </row>
    <row r="35" spans="1:9" ht="14" x14ac:dyDescent="0.3">
      <c r="A35" s="6">
        <v>16</v>
      </c>
      <c r="B35" s="15" t="s">
        <v>275</v>
      </c>
      <c r="C35" s="16" t="s">
        <v>265</v>
      </c>
      <c r="E35" s="16" t="s">
        <v>77</v>
      </c>
      <c r="F35" s="17">
        <v>670</v>
      </c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35 E20:F35 B36:E40">
    <cfRule type="expression" dxfId="95" priority="7" stopIfTrue="1">
      <formula>MOD(ROW(),2)=0</formula>
    </cfRule>
    <cfRule type="expression" dxfId="94" priority="8" stopIfTrue="1">
      <formula>MOD(ROW(),2)=1</formula>
    </cfRule>
  </conditionalFormatting>
  <conditionalFormatting sqref="C20">
    <cfRule type="expression" dxfId="93" priority="5" stopIfTrue="1">
      <formula>MOD(ROW(),2)=0</formula>
    </cfRule>
    <cfRule type="expression" dxfId="92" priority="6" stopIfTrue="1">
      <formula>MOD(ROW(),2)=1</formula>
    </cfRule>
  </conditionalFormatting>
  <conditionalFormatting sqref="F20:G40">
    <cfRule type="expression" dxfId="91" priority="1" stopIfTrue="1">
      <formula>MOD(ROW(),2)=0</formula>
    </cfRule>
    <cfRule type="expression" dxfId="9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topLeftCell="A8" zoomScaleNormal="100" workbookViewId="0">
      <selection activeCell="G26" sqref="G26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57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7102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2956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2174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782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0.41622078287806252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16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12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276</v>
      </c>
      <c r="C20" s="13" t="s">
        <v>277</v>
      </c>
      <c r="E20" s="13" t="s">
        <v>95</v>
      </c>
      <c r="F20" s="14">
        <v>533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278</v>
      </c>
      <c r="C21" s="16" t="s">
        <v>279</v>
      </c>
      <c r="E21" s="16" t="s">
        <v>92</v>
      </c>
      <c r="F21" s="17">
        <v>91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280</v>
      </c>
      <c r="C22" s="16" t="s">
        <v>281</v>
      </c>
      <c r="E22" s="16" t="s">
        <v>95</v>
      </c>
      <c r="F22" s="17">
        <v>305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282</v>
      </c>
      <c r="C23" s="16" t="s">
        <v>283</v>
      </c>
      <c r="E23" s="16" t="s">
        <v>92</v>
      </c>
      <c r="F23" s="17">
        <v>233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284</v>
      </c>
      <c r="C24" s="16" t="s">
        <v>285</v>
      </c>
      <c r="E24" s="16" t="s">
        <v>83</v>
      </c>
      <c r="F24" s="17">
        <v>1289</v>
      </c>
      <c r="G24" s="17" t="s">
        <v>108</v>
      </c>
      <c r="H24" s="9" t="s">
        <v>28</v>
      </c>
      <c r="I24" s="1"/>
    </row>
    <row r="25" spans="1:9" ht="14" x14ac:dyDescent="0.3">
      <c r="A25" s="6">
        <v>6</v>
      </c>
      <c r="B25" s="15" t="s">
        <v>286</v>
      </c>
      <c r="C25" s="16" t="s">
        <v>287</v>
      </c>
      <c r="E25" s="16" t="s">
        <v>83</v>
      </c>
      <c r="F25" s="17">
        <v>1265</v>
      </c>
      <c r="G25" s="17" t="s">
        <v>108</v>
      </c>
      <c r="H25" s="9" t="s">
        <v>29</v>
      </c>
      <c r="I25" s="1"/>
    </row>
    <row r="26" spans="1:9" ht="14" x14ac:dyDescent="0.3">
      <c r="A26" s="6">
        <v>7</v>
      </c>
      <c r="B26" s="15" t="s">
        <v>288</v>
      </c>
      <c r="C26" s="16" t="s">
        <v>289</v>
      </c>
      <c r="E26" s="16" t="s">
        <v>77</v>
      </c>
      <c r="F26" s="17">
        <v>1147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290</v>
      </c>
      <c r="C27" s="16" t="s">
        <v>291</v>
      </c>
      <c r="E27" s="16" t="s">
        <v>74</v>
      </c>
      <c r="F27" s="17">
        <v>278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292</v>
      </c>
      <c r="C28" s="16" t="s">
        <v>293</v>
      </c>
      <c r="E28" s="16" t="s">
        <v>74</v>
      </c>
      <c r="F28" s="17">
        <v>190</v>
      </c>
      <c r="G28" s="17"/>
      <c r="H28" s="9" t="s">
        <v>32</v>
      </c>
      <c r="I28" s="1"/>
    </row>
    <row r="29" spans="1:9" ht="14" x14ac:dyDescent="0.3">
      <c r="A29" s="6">
        <v>10</v>
      </c>
      <c r="B29" s="15"/>
      <c r="C29" s="16"/>
      <c r="D29" s="16"/>
      <c r="E29" s="17"/>
      <c r="F29" s="17"/>
      <c r="G29" s="17"/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28 E20:F28 B29:E40">
    <cfRule type="expression" dxfId="89" priority="7" stopIfTrue="1">
      <formula>MOD(ROW(),2)=0</formula>
    </cfRule>
    <cfRule type="expression" dxfId="88" priority="8" stopIfTrue="1">
      <formula>MOD(ROW(),2)=1</formula>
    </cfRule>
  </conditionalFormatting>
  <conditionalFormatting sqref="C20">
    <cfRule type="expression" dxfId="87" priority="5" stopIfTrue="1">
      <formula>MOD(ROW(),2)=0</formula>
    </cfRule>
    <cfRule type="expression" dxfId="86" priority="6" stopIfTrue="1">
      <formula>MOD(ROW(),2)=1</formula>
    </cfRule>
  </conditionalFormatting>
  <conditionalFormatting sqref="F20:G40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topLeftCell="A8" zoomScaleNormal="100" workbookViewId="0">
      <selection activeCell="G30" sqref="G3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58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7372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3634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2684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950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0.49294628323385786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16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12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294</v>
      </c>
      <c r="C20" s="13" t="s">
        <v>281</v>
      </c>
      <c r="E20" s="13" t="s">
        <v>74</v>
      </c>
      <c r="F20" s="14">
        <v>344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258</v>
      </c>
      <c r="C21" s="16" t="s">
        <v>295</v>
      </c>
      <c r="E21" s="16" t="s">
        <v>83</v>
      </c>
      <c r="F21" s="17">
        <v>1238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296</v>
      </c>
      <c r="C22" s="16" t="s">
        <v>220</v>
      </c>
      <c r="E22" s="16" t="s">
        <v>74</v>
      </c>
      <c r="F22" s="17">
        <v>329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297</v>
      </c>
      <c r="C23" s="16" t="s">
        <v>298</v>
      </c>
      <c r="E23" s="16" t="s">
        <v>95</v>
      </c>
      <c r="F23" s="17">
        <v>305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299</v>
      </c>
      <c r="C24" s="16" t="s">
        <v>300</v>
      </c>
      <c r="E24" s="16" t="s">
        <v>92</v>
      </c>
      <c r="F24" s="17">
        <v>358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301</v>
      </c>
      <c r="C25" s="16" t="s">
        <v>302</v>
      </c>
      <c r="E25" s="16" t="s">
        <v>92</v>
      </c>
      <c r="F25" s="17">
        <v>338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303</v>
      </c>
      <c r="C26" s="16" t="s">
        <v>304</v>
      </c>
      <c r="E26" s="16" t="s">
        <v>83</v>
      </c>
      <c r="F26" s="17">
        <v>1191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303</v>
      </c>
      <c r="C27" s="16" t="s">
        <v>281</v>
      </c>
      <c r="E27" s="16" t="s">
        <v>95</v>
      </c>
      <c r="F27" s="17">
        <v>221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303</v>
      </c>
      <c r="C28" s="16" t="s">
        <v>305</v>
      </c>
      <c r="E28" s="16" t="s">
        <v>77</v>
      </c>
      <c r="F28" s="17">
        <v>1514</v>
      </c>
      <c r="G28" s="17" t="s">
        <v>108</v>
      </c>
      <c r="H28" s="9" t="s">
        <v>32</v>
      </c>
      <c r="I28" s="1"/>
    </row>
    <row r="29" spans="1:9" ht="14" x14ac:dyDescent="0.3">
      <c r="A29" s="6">
        <v>10</v>
      </c>
      <c r="B29" s="15" t="s">
        <v>306</v>
      </c>
      <c r="C29" s="16" t="s">
        <v>307</v>
      </c>
      <c r="E29" s="16" t="s">
        <v>77</v>
      </c>
      <c r="F29" s="17">
        <v>1330</v>
      </c>
      <c r="G29" s="17" t="s">
        <v>108</v>
      </c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29 E20:F29 B30:E40">
    <cfRule type="expression" dxfId="83" priority="7" stopIfTrue="1">
      <formula>MOD(ROW(),2)=0</formula>
    </cfRule>
    <cfRule type="expression" dxfId="82" priority="8" stopIfTrue="1">
      <formula>MOD(ROW(),2)=1</formula>
    </cfRule>
  </conditionalFormatting>
  <conditionalFormatting sqref="C20">
    <cfRule type="expression" dxfId="81" priority="5" stopIfTrue="1">
      <formula>MOD(ROW(),2)=0</formula>
    </cfRule>
    <cfRule type="expression" dxfId="80" priority="6" stopIfTrue="1">
      <formula>MOD(ROW(),2)=1</formula>
    </cfRule>
  </conditionalFormatting>
  <conditionalFormatting sqref="F20:G40">
    <cfRule type="expression" dxfId="79" priority="1" stopIfTrue="1">
      <formula>MOD(ROW(),2)=0</formula>
    </cfRule>
    <cfRule type="expression" dxfId="7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topLeftCell="A8" zoomScaleNormal="100" workbookViewId="0">
      <selection activeCell="G28" sqref="G28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59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8035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2796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1878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918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0.34797759800871186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36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0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36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308</v>
      </c>
      <c r="C20" s="13" t="s">
        <v>309</v>
      </c>
      <c r="E20" s="13" t="s">
        <v>95</v>
      </c>
      <c r="F20" s="14">
        <v>309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310</v>
      </c>
      <c r="C21" s="16" t="s">
        <v>311</v>
      </c>
      <c r="E21" s="16" t="s">
        <v>92</v>
      </c>
      <c r="F21" s="17">
        <v>326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312</v>
      </c>
      <c r="C22" s="16" t="s">
        <v>253</v>
      </c>
      <c r="E22" s="16" t="s">
        <v>74</v>
      </c>
      <c r="F22" s="17">
        <v>392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313</v>
      </c>
      <c r="C23" s="16" t="s">
        <v>100</v>
      </c>
      <c r="E23" s="16" t="s">
        <v>77</v>
      </c>
      <c r="F23" s="17">
        <v>982</v>
      </c>
      <c r="G23" s="17" t="s">
        <v>108</v>
      </c>
      <c r="H23" s="9" t="s">
        <v>27</v>
      </c>
      <c r="I23" s="1"/>
    </row>
    <row r="24" spans="1:9" ht="14" x14ac:dyDescent="0.3">
      <c r="A24" s="6">
        <v>5</v>
      </c>
      <c r="B24" s="15" t="s">
        <v>314</v>
      </c>
      <c r="C24" s="16" t="s">
        <v>315</v>
      </c>
      <c r="E24" s="16" t="s">
        <v>92</v>
      </c>
      <c r="F24" s="17">
        <v>288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316</v>
      </c>
      <c r="C25" s="16" t="s">
        <v>317</v>
      </c>
      <c r="E25" s="16" t="s">
        <v>74</v>
      </c>
      <c r="F25" s="17">
        <v>397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318</v>
      </c>
      <c r="C26" s="16" t="s">
        <v>319</v>
      </c>
      <c r="E26" s="16" t="s">
        <v>116</v>
      </c>
      <c r="F26" s="17">
        <v>924</v>
      </c>
      <c r="G26" s="17" t="s">
        <v>108</v>
      </c>
      <c r="H26" s="9" t="s">
        <v>30</v>
      </c>
      <c r="I26" s="1"/>
    </row>
    <row r="27" spans="1:9" ht="14" x14ac:dyDescent="0.3">
      <c r="A27" s="6">
        <v>8</v>
      </c>
      <c r="B27" s="15" t="s">
        <v>320</v>
      </c>
      <c r="C27" s="16" t="s">
        <v>196</v>
      </c>
      <c r="E27" s="16" t="s">
        <v>74</v>
      </c>
      <c r="F27" s="17">
        <v>337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321</v>
      </c>
      <c r="C28" s="16" t="s">
        <v>322</v>
      </c>
      <c r="E28" s="16" t="s">
        <v>77</v>
      </c>
      <c r="F28" s="17">
        <v>955</v>
      </c>
      <c r="G28" s="17" t="s">
        <v>108</v>
      </c>
      <c r="H28" s="9" t="s">
        <v>32</v>
      </c>
      <c r="I28" s="1"/>
    </row>
    <row r="29" spans="1:9" ht="14" x14ac:dyDescent="0.3">
      <c r="A29" s="6">
        <v>10</v>
      </c>
      <c r="B29" s="15" t="s">
        <v>323</v>
      </c>
      <c r="C29" s="16" t="s">
        <v>324</v>
      </c>
      <c r="E29" s="16" t="s">
        <v>95</v>
      </c>
      <c r="F29" s="17">
        <v>267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325</v>
      </c>
      <c r="C30" s="16" t="s">
        <v>124</v>
      </c>
      <c r="E30" s="16" t="s">
        <v>116</v>
      </c>
      <c r="F30" s="17">
        <v>793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326</v>
      </c>
      <c r="C31" s="16" t="s">
        <v>327</v>
      </c>
      <c r="E31" s="16" t="s">
        <v>77</v>
      </c>
      <c r="F31" s="17">
        <v>861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328</v>
      </c>
      <c r="C32" s="16" t="s">
        <v>140</v>
      </c>
      <c r="E32" s="16" t="s">
        <v>95</v>
      </c>
      <c r="F32" s="17">
        <v>243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275</v>
      </c>
      <c r="C33" s="16" t="s">
        <v>329</v>
      </c>
      <c r="E33" s="16" t="s">
        <v>92</v>
      </c>
      <c r="F33" s="17">
        <v>301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275</v>
      </c>
      <c r="C34" s="16" t="s">
        <v>330</v>
      </c>
      <c r="E34" s="16" t="s">
        <v>116</v>
      </c>
      <c r="F34" s="17">
        <v>790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34 E20:F34 B35:E40">
    <cfRule type="expression" dxfId="77" priority="7" stopIfTrue="1">
      <formula>MOD(ROW(),2)=0</formula>
    </cfRule>
    <cfRule type="expression" dxfId="76" priority="8" stopIfTrue="1">
      <formula>MOD(ROW(),2)=1</formula>
    </cfRule>
  </conditionalFormatting>
  <conditionalFormatting sqref="C20">
    <cfRule type="expression" dxfId="75" priority="5" stopIfTrue="1">
      <formula>MOD(ROW(),2)=0</formula>
    </cfRule>
    <cfRule type="expression" dxfId="74" priority="6" stopIfTrue="1">
      <formula>MOD(ROW(),2)=1</formula>
    </cfRule>
  </conditionalFormatting>
  <conditionalFormatting sqref="F20:G40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topLeftCell="A8" zoomScaleNormal="100" workbookViewId="0">
      <selection activeCell="G29" sqref="G29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60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7241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3042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2005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1037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0.42010771992818674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18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12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331</v>
      </c>
      <c r="C20" s="13" t="s">
        <v>332</v>
      </c>
      <c r="E20" s="13" t="s">
        <v>92</v>
      </c>
      <c r="F20" s="14">
        <v>726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333</v>
      </c>
      <c r="C21" s="16" t="s">
        <v>334</v>
      </c>
      <c r="E21" s="16" t="s">
        <v>116</v>
      </c>
      <c r="F21" s="17">
        <v>1076</v>
      </c>
      <c r="G21" s="17" t="s">
        <v>108</v>
      </c>
      <c r="H21" s="9" t="s">
        <v>25</v>
      </c>
      <c r="I21" s="1"/>
    </row>
    <row r="22" spans="1:9" ht="14" x14ac:dyDescent="0.3">
      <c r="A22" s="6">
        <v>3</v>
      </c>
      <c r="B22" s="15" t="s">
        <v>335</v>
      </c>
      <c r="C22" s="16" t="s">
        <v>336</v>
      </c>
      <c r="E22" s="16" t="s">
        <v>77</v>
      </c>
      <c r="F22" s="17">
        <v>681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337</v>
      </c>
      <c r="C23" s="16" t="s">
        <v>338</v>
      </c>
      <c r="E23" s="16" t="s">
        <v>95</v>
      </c>
      <c r="F23" s="17">
        <v>209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123</v>
      </c>
      <c r="C24" s="16" t="s">
        <v>339</v>
      </c>
      <c r="E24" s="16" t="s">
        <v>77</v>
      </c>
      <c r="F24" s="17">
        <v>622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340</v>
      </c>
      <c r="C25" s="16" t="s">
        <v>341</v>
      </c>
      <c r="E25" s="16" t="s">
        <v>92</v>
      </c>
      <c r="F25" s="17">
        <v>681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342</v>
      </c>
      <c r="C26" s="16" t="s">
        <v>343</v>
      </c>
      <c r="E26" s="16" t="s">
        <v>95</v>
      </c>
      <c r="F26" s="17">
        <v>157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342</v>
      </c>
      <c r="C27" s="16" t="s">
        <v>344</v>
      </c>
      <c r="E27" s="16" t="s">
        <v>74</v>
      </c>
      <c r="F27" s="17">
        <v>396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345</v>
      </c>
      <c r="C28" s="16" t="s">
        <v>346</v>
      </c>
      <c r="E28" s="16" t="s">
        <v>116</v>
      </c>
      <c r="F28" s="17">
        <v>951</v>
      </c>
      <c r="G28" s="17" t="s">
        <v>108</v>
      </c>
      <c r="H28" s="9" t="s">
        <v>32</v>
      </c>
      <c r="I28" s="1"/>
    </row>
    <row r="29" spans="1:9" ht="14" x14ac:dyDescent="0.3">
      <c r="A29" s="6">
        <v>10</v>
      </c>
      <c r="B29" s="15" t="s">
        <v>347</v>
      </c>
      <c r="C29" s="16" t="s">
        <v>348</v>
      </c>
      <c r="E29" s="16" t="s">
        <v>74</v>
      </c>
      <c r="F29" s="17">
        <v>381</v>
      </c>
      <c r="G29" s="17"/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29 E20:F29 B30:E40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C20">
    <cfRule type="expression" dxfId="69" priority="5" stopIfTrue="1">
      <formula>MOD(ROW(),2)=0</formula>
    </cfRule>
    <cfRule type="expression" dxfId="68" priority="6" stopIfTrue="1">
      <formula>MOD(ROW(),2)=1</formula>
    </cfRule>
  </conditionalFormatting>
  <conditionalFormatting sqref="F20:G40">
    <cfRule type="expression" dxfId="67" priority="1" stopIfTrue="1">
      <formula>MOD(ROW(),2)=0</formula>
    </cfRule>
    <cfRule type="expression" dxfId="6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topLeftCell="A10" zoomScaleNormal="100" workbookViewId="0">
      <selection activeCell="G28" sqref="G28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61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4969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1906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1420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486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0.3835781847454216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10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349</v>
      </c>
      <c r="C20" s="13" t="s">
        <v>329</v>
      </c>
      <c r="E20" s="13" t="s">
        <v>92</v>
      </c>
      <c r="F20" s="14">
        <v>277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350</v>
      </c>
      <c r="C21" s="16" t="s">
        <v>218</v>
      </c>
      <c r="E21" s="16" t="s">
        <v>95</v>
      </c>
      <c r="F21" s="17">
        <v>152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351</v>
      </c>
      <c r="C22" s="16" t="s">
        <v>352</v>
      </c>
      <c r="E22" s="16" t="s">
        <v>116</v>
      </c>
      <c r="F22" s="17">
        <v>710</v>
      </c>
      <c r="G22" s="17" t="s">
        <v>108</v>
      </c>
      <c r="H22" s="9" t="s">
        <v>26</v>
      </c>
      <c r="I22" s="1"/>
    </row>
    <row r="23" spans="1:9" ht="14" x14ac:dyDescent="0.3">
      <c r="A23" s="6">
        <v>4</v>
      </c>
      <c r="B23" s="15" t="s">
        <v>213</v>
      </c>
      <c r="C23" s="16" t="s">
        <v>353</v>
      </c>
      <c r="E23" s="16" t="s">
        <v>74</v>
      </c>
      <c r="F23" s="17">
        <v>243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354</v>
      </c>
      <c r="C24" s="16" t="s">
        <v>355</v>
      </c>
      <c r="E24" s="16" t="s">
        <v>74</v>
      </c>
      <c r="F24" s="17">
        <v>184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356</v>
      </c>
      <c r="C25" s="16" t="s">
        <v>357</v>
      </c>
      <c r="E25" s="16" t="s">
        <v>77</v>
      </c>
      <c r="F25" s="17">
        <v>586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358</v>
      </c>
      <c r="C26" s="16" t="s">
        <v>359</v>
      </c>
      <c r="E26" s="16" t="s">
        <v>92</v>
      </c>
      <c r="F26" s="17">
        <v>254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360</v>
      </c>
      <c r="C27" s="16" t="s">
        <v>361</v>
      </c>
      <c r="E27" s="16" t="s">
        <v>116</v>
      </c>
      <c r="F27" s="17">
        <v>640</v>
      </c>
      <c r="G27" s="17" t="s">
        <v>108</v>
      </c>
      <c r="H27" s="9" t="s">
        <v>31</v>
      </c>
      <c r="I27" s="1"/>
    </row>
    <row r="28" spans="1:9" ht="14" x14ac:dyDescent="0.3">
      <c r="A28" s="6">
        <v>9</v>
      </c>
      <c r="B28" s="15" t="s">
        <v>362</v>
      </c>
      <c r="C28" s="16" t="s">
        <v>338</v>
      </c>
      <c r="E28" s="16" t="s">
        <v>77</v>
      </c>
      <c r="F28" s="17">
        <v>580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363</v>
      </c>
      <c r="C29" s="16" t="s">
        <v>218</v>
      </c>
      <c r="E29" s="16" t="s">
        <v>95</v>
      </c>
      <c r="F29" s="17">
        <v>110</v>
      </c>
      <c r="G29" s="17"/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29 E20:F29 B30:E40">
    <cfRule type="expression" dxfId="65" priority="7" stopIfTrue="1">
      <formula>MOD(ROW(),2)=0</formula>
    </cfRule>
    <cfRule type="expression" dxfId="64" priority="8" stopIfTrue="1">
      <formula>MOD(ROW(),2)=1</formula>
    </cfRule>
  </conditionalFormatting>
  <conditionalFormatting sqref="C20">
    <cfRule type="expression" dxfId="63" priority="5" stopIfTrue="1">
      <formula>MOD(ROW(),2)=0</formula>
    </cfRule>
    <cfRule type="expression" dxfId="62" priority="6" stopIfTrue="1">
      <formula>MOD(ROW(),2)=1</formula>
    </cfRule>
  </conditionalFormatting>
  <conditionalFormatting sqref="F20:G40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topLeftCell="A8" zoomScaleNormal="100" workbookViewId="0">
      <selection activeCell="G21" sqref="G21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62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6577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2680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1878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802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0.40748061426182147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16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10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364</v>
      </c>
      <c r="C20" s="13" t="s">
        <v>365</v>
      </c>
      <c r="E20" s="13" t="s">
        <v>116</v>
      </c>
      <c r="F20" s="14">
        <v>946</v>
      </c>
      <c r="G20" s="14" t="s">
        <v>108</v>
      </c>
      <c r="H20" s="9" t="s">
        <v>24</v>
      </c>
      <c r="I20" s="1"/>
    </row>
    <row r="21" spans="1:9" ht="14" x14ac:dyDescent="0.3">
      <c r="A21" s="6">
        <v>2</v>
      </c>
      <c r="B21" s="15" t="s">
        <v>366</v>
      </c>
      <c r="C21" s="16" t="s">
        <v>367</v>
      </c>
      <c r="E21" s="16" t="s">
        <v>77</v>
      </c>
      <c r="F21" s="17">
        <v>462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368</v>
      </c>
      <c r="C22" s="16" t="s">
        <v>369</v>
      </c>
      <c r="E22" s="16" t="s">
        <v>74</v>
      </c>
      <c r="F22" s="17">
        <v>334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370</v>
      </c>
      <c r="C23" s="16" t="s">
        <v>371</v>
      </c>
      <c r="E23" s="16" t="s">
        <v>74</v>
      </c>
      <c r="F23" s="17">
        <v>313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256</v>
      </c>
      <c r="C24" s="16" t="s">
        <v>372</v>
      </c>
      <c r="E24" s="16" t="s">
        <v>92</v>
      </c>
      <c r="F24" s="17">
        <v>751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373</v>
      </c>
      <c r="C25" s="16" t="s">
        <v>374</v>
      </c>
      <c r="E25" s="16" t="s">
        <v>92</v>
      </c>
      <c r="F25" s="17">
        <v>780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375</v>
      </c>
      <c r="C26" s="16" t="s">
        <v>376</v>
      </c>
      <c r="E26" s="16" t="s">
        <v>77</v>
      </c>
      <c r="F26" s="17">
        <v>439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303</v>
      </c>
      <c r="C27" s="16" t="s">
        <v>218</v>
      </c>
      <c r="E27" s="16" t="s">
        <v>95</v>
      </c>
      <c r="F27" s="17">
        <v>138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377</v>
      </c>
      <c r="C28" s="16" t="s">
        <v>378</v>
      </c>
      <c r="E28" s="16" t="s">
        <v>95</v>
      </c>
      <c r="F28" s="17">
        <v>101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379</v>
      </c>
      <c r="C29" s="16" t="s">
        <v>380</v>
      </c>
      <c r="E29" s="16" t="s">
        <v>116</v>
      </c>
      <c r="F29" s="17">
        <v>908</v>
      </c>
      <c r="G29" s="17" t="s">
        <v>108</v>
      </c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29 E20:F29 B30:E40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C20">
    <cfRule type="expression" dxfId="57" priority="5" stopIfTrue="1">
      <formula>MOD(ROW(),2)=0</formula>
    </cfRule>
    <cfRule type="expression" dxfId="56" priority="6" stopIfTrue="1">
      <formula>MOD(ROW(),2)=1</formula>
    </cfRule>
  </conditionalFormatting>
  <conditionalFormatting sqref="F20:G40">
    <cfRule type="expression" dxfId="55" priority="1" stopIfTrue="1">
      <formula>MOD(ROW(),2)=0</formula>
    </cfRule>
    <cfRule type="expression" dxfId="5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topLeftCell="A8" zoomScaleNormal="100" workbookViewId="0">
      <selection activeCell="G34" sqref="G3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28" x14ac:dyDescent="0.3">
      <c r="A5" s="5" t="s">
        <v>3</v>
      </c>
      <c r="B5" s="24"/>
      <c r="C5" s="24"/>
      <c r="D5" s="24"/>
      <c r="E5" s="24"/>
      <c r="F5" s="24"/>
      <c r="G5" s="19" t="s">
        <v>63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10410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4817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3337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1480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0.46272814601344858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21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18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381</v>
      </c>
      <c r="C20" s="13" t="s">
        <v>82</v>
      </c>
      <c r="E20" s="13" t="s">
        <v>92</v>
      </c>
      <c r="F20" s="14">
        <v>1228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382</v>
      </c>
      <c r="C21" s="16" t="s">
        <v>383</v>
      </c>
      <c r="E21" s="16" t="s">
        <v>92</v>
      </c>
      <c r="F21" s="17">
        <v>1178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384</v>
      </c>
      <c r="C22" s="16" t="s">
        <v>385</v>
      </c>
      <c r="E22" s="16" t="s">
        <v>77</v>
      </c>
      <c r="F22" s="17">
        <v>643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386</v>
      </c>
      <c r="C23" s="16" t="s">
        <v>82</v>
      </c>
      <c r="E23" s="16" t="s">
        <v>83</v>
      </c>
      <c r="F23" s="17">
        <v>1091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387</v>
      </c>
      <c r="C24" s="16" t="s">
        <v>388</v>
      </c>
      <c r="E24" s="16" t="s">
        <v>95</v>
      </c>
      <c r="F24" s="17">
        <v>172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389</v>
      </c>
      <c r="C25" s="16" t="s">
        <v>271</v>
      </c>
      <c r="E25" s="16" t="s">
        <v>74</v>
      </c>
      <c r="F25" s="17">
        <v>1903</v>
      </c>
      <c r="G25" s="17" t="s">
        <v>108</v>
      </c>
      <c r="H25" s="9" t="s">
        <v>29</v>
      </c>
      <c r="I25" s="1"/>
    </row>
    <row r="26" spans="1:9" ht="14" x14ac:dyDescent="0.3">
      <c r="A26" s="6">
        <v>7</v>
      </c>
      <c r="B26" s="15" t="s">
        <v>390</v>
      </c>
      <c r="C26" s="16" t="s">
        <v>107</v>
      </c>
      <c r="E26" s="16" t="s">
        <v>83</v>
      </c>
      <c r="F26" s="17">
        <v>1042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391</v>
      </c>
      <c r="C27" s="16" t="s">
        <v>392</v>
      </c>
      <c r="E27" s="16" t="s">
        <v>77</v>
      </c>
      <c r="F27" s="17">
        <v>601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393</v>
      </c>
      <c r="C28" s="16" t="s">
        <v>298</v>
      </c>
      <c r="E28" s="16" t="s">
        <v>77</v>
      </c>
      <c r="F28" s="17">
        <v>594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394</v>
      </c>
      <c r="C29" s="16" t="s">
        <v>395</v>
      </c>
      <c r="E29" s="16" t="s">
        <v>92</v>
      </c>
      <c r="F29" s="17">
        <v>1074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396</v>
      </c>
      <c r="C30" s="16" t="s">
        <v>397</v>
      </c>
      <c r="E30" s="16" t="s">
        <v>83</v>
      </c>
      <c r="F30" s="17">
        <v>900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377</v>
      </c>
      <c r="C31" s="16" t="s">
        <v>385</v>
      </c>
      <c r="E31" s="16" t="s">
        <v>95</v>
      </c>
      <c r="F31" s="17">
        <v>156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398</v>
      </c>
      <c r="C32" s="16" t="s">
        <v>378</v>
      </c>
      <c r="E32" s="16" t="s">
        <v>74</v>
      </c>
      <c r="F32" s="17">
        <v>1833</v>
      </c>
      <c r="G32" s="17" t="s">
        <v>108</v>
      </c>
      <c r="H32" s="9" t="s">
        <v>36</v>
      </c>
      <c r="I32" s="1"/>
    </row>
    <row r="33" spans="1:9" ht="14" x14ac:dyDescent="0.3">
      <c r="A33" s="6">
        <v>14</v>
      </c>
      <c r="B33" s="15" t="s">
        <v>399</v>
      </c>
      <c r="C33" s="16" t="s">
        <v>400</v>
      </c>
      <c r="E33" s="16" t="s">
        <v>74</v>
      </c>
      <c r="F33" s="17">
        <v>1696</v>
      </c>
      <c r="G33" s="17" t="s">
        <v>108</v>
      </c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33 E20:F33 B34:E40">
    <cfRule type="expression" dxfId="53" priority="7" stopIfTrue="1">
      <formula>MOD(ROW(),2)=0</formula>
    </cfRule>
    <cfRule type="expression" dxfId="52" priority="8" stopIfTrue="1">
      <formula>MOD(ROW(),2)=1</formula>
    </cfRule>
  </conditionalFormatting>
  <conditionalFormatting sqref="C20">
    <cfRule type="expression" dxfId="51" priority="5" stopIfTrue="1">
      <formula>MOD(ROW(),2)=0</formula>
    </cfRule>
    <cfRule type="expression" dxfId="50" priority="6" stopIfTrue="1">
      <formula>MOD(ROW(),2)=1</formula>
    </cfRule>
  </conditionalFormatting>
  <conditionalFormatting sqref="F20:G4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topLeftCell="A8" zoomScaleNormal="100" workbookViewId="0">
      <selection activeCell="G30" sqref="G3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64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12135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4507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3228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1279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0.37140502678203541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57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30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27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401</v>
      </c>
      <c r="C20" s="13" t="s">
        <v>402</v>
      </c>
      <c r="E20" s="13" t="s">
        <v>116</v>
      </c>
      <c r="F20" s="14">
        <v>1759</v>
      </c>
      <c r="G20" s="14" t="s">
        <v>108</v>
      </c>
      <c r="H20" s="9" t="s">
        <v>24</v>
      </c>
      <c r="I20" s="1"/>
    </row>
    <row r="21" spans="1:9" ht="14" x14ac:dyDescent="0.3">
      <c r="A21" s="6">
        <v>2</v>
      </c>
      <c r="B21" s="15" t="s">
        <v>403</v>
      </c>
      <c r="C21" s="16" t="s">
        <v>291</v>
      </c>
      <c r="E21" s="16" t="s">
        <v>74</v>
      </c>
      <c r="F21" s="17">
        <v>428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404</v>
      </c>
      <c r="C22" s="16" t="s">
        <v>405</v>
      </c>
      <c r="E22" s="16" t="s">
        <v>74</v>
      </c>
      <c r="F22" s="17">
        <v>350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75</v>
      </c>
      <c r="C23" s="16" t="s">
        <v>371</v>
      </c>
      <c r="E23" s="16" t="s">
        <v>92</v>
      </c>
      <c r="F23" s="17">
        <v>677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406</v>
      </c>
      <c r="C24" s="16" t="s">
        <v>407</v>
      </c>
      <c r="E24" s="16" t="s">
        <v>74</v>
      </c>
      <c r="F24" s="17">
        <v>349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408</v>
      </c>
      <c r="C25" s="16" t="s">
        <v>409</v>
      </c>
      <c r="E25" s="16" t="s">
        <v>77</v>
      </c>
      <c r="F25" s="17">
        <v>1272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410</v>
      </c>
      <c r="C26" s="16" t="s">
        <v>298</v>
      </c>
      <c r="E26" s="16" t="s">
        <v>77</v>
      </c>
      <c r="F26" s="17">
        <v>1180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411</v>
      </c>
      <c r="C27" s="16" t="s">
        <v>412</v>
      </c>
      <c r="E27" s="16" t="s">
        <v>92</v>
      </c>
      <c r="F27" s="17">
        <v>598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413</v>
      </c>
      <c r="C28" s="16" t="s">
        <v>414</v>
      </c>
      <c r="E28" s="16" t="s">
        <v>415</v>
      </c>
      <c r="F28" s="17">
        <v>720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155</v>
      </c>
      <c r="C29" s="16" t="s">
        <v>416</v>
      </c>
      <c r="E29" s="16" t="s">
        <v>92</v>
      </c>
      <c r="F29" s="17">
        <v>610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417</v>
      </c>
      <c r="C30" s="16" t="s">
        <v>418</v>
      </c>
      <c r="E30" s="16" t="s">
        <v>116</v>
      </c>
      <c r="F30" s="17">
        <v>1591</v>
      </c>
      <c r="G30" s="17" t="s">
        <v>108</v>
      </c>
      <c r="H30" s="9" t="s">
        <v>34</v>
      </c>
      <c r="I30" s="1"/>
    </row>
    <row r="31" spans="1:9" ht="14" x14ac:dyDescent="0.3">
      <c r="A31" s="6">
        <v>12</v>
      </c>
      <c r="B31" s="15" t="s">
        <v>419</v>
      </c>
      <c r="C31" s="16" t="s">
        <v>420</v>
      </c>
      <c r="E31" s="16" t="s">
        <v>95</v>
      </c>
      <c r="F31" s="17">
        <v>211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421</v>
      </c>
      <c r="C32" s="16" t="s">
        <v>422</v>
      </c>
      <c r="E32" s="16" t="s">
        <v>77</v>
      </c>
      <c r="F32" s="17">
        <v>988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423</v>
      </c>
      <c r="C33" s="16" t="s">
        <v>424</v>
      </c>
      <c r="E33" s="16" t="s">
        <v>116</v>
      </c>
      <c r="F33" s="17">
        <v>1610</v>
      </c>
      <c r="G33" s="17" t="s">
        <v>108</v>
      </c>
      <c r="H33" s="9" t="s">
        <v>37</v>
      </c>
      <c r="I33" s="1"/>
    </row>
    <row r="34" spans="1:9" ht="14" x14ac:dyDescent="0.3">
      <c r="A34" s="6">
        <v>15</v>
      </c>
      <c r="B34" s="15" t="s">
        <v>425</v>
      </c>
      <c r="C34" s="16" t="s">
        <v>281</v>
      </c>
      <c r="E34" s="16" t="s">
        <v>95</v>
      </c>
      <c r="F34" s="17">
        <v>265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34 E20:F34 B35:E40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C20">
    <cfRule type="expression" dxfId="45" priority="5" stopIfTrue="1">
      <formula>MOD(ROW(),2)=0</formula>
    </cfRule>
    <cfRule type="expression" dxfId="44" priority="6" stopIfTrue="1">
      <formula>MOD(ROW(),2)=1</formula>
    </cfRule>
  </conditionalFormatting>
  <conditionalFormatting sqref="F20:G40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topLeftCell="A8" zoomScaleNormal="100" workbookViewId="0">
      <selection activeCell="G24" sqref="G2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65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10541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4584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3329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1255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0.43487335167441421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30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12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18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426</v>
      </c>
      <c r="C20" s="13" t="s">
        <v>427</v>
      </c>
      <c r="E20" s="13" t="s">
        <v>77</v>
      </c>
      <c r="F20" s="14">
        <v>1684</v>
      </c>
      <c r="G20" s="14" t="s">
        <v>108</v>
      </c>
      <c r="H20" s="9" t="s">
        <v>24</v>
      </c>
      <c r="I20" s="1"/>
    </row>
    <row r="21" spans="1:9" ht="14" x14ac:dyDescent="0.3">
      <c r="A21" s="6">
        <v>2</v>
      </c>
      <c r="B21" s="15" t="s">
        <v>428</v>
      </c>
      <c r="C21" s="16" t="s">
        <v>184</v>
      </c>
      <c r="E21" s="16" t="s">
        <v>74</v>
      </c>
      <c r="F21" s="17">
        <v>528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429</v>
      </c>
      <c r="C22" s="16" t="s">
        <v>430</v>
      </c>
      <c r="E22" s="16" t="s">
        <v>92</v>
      </c>
      <c r="F22" s="17">
        <v>979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431</v>
      </c>
      <c r="C23" s="16" t="s">
        <v>432</v>
      </c>
      <c r="E23" s="16" t="s">
        <v>77</v>
      </c>
      <c r="F23" s="17">
        <v>1491</v>
      </c>
      <c r="G23" s="17" t="s">
        <v>108</v>
      </c>
      <c r="H23" s="9" t="s">
        <v>27</v>
      </c>
      <c r="I23" s="1"/>
    </row>
    <row r="24" spans="1:9" ht="14" x14ac:dyDescent="0.3">
      <c r="A24" s="6">
        <v>5</v>
      </c>
      <c r="B24" s="15" t="s">
        <v>433</v>
      </c>
      <c r="C24" s="16" t="s">
        <v>434</v>
      </c>
      <c r="E24" s="16" t="s">
        <v>116</v>
      </c>
      <c r="F24" s="17">
        <v>1428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435</v>
      </c>
      <c r="C25" s="16" t="s">
        <v>436</v>
      </c>
      <c r="E25" s="16" t="s">
        <v>74</v>
      </c>
      <c r="F25" s="17">
        <v>367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437</v>
      </c>
      <c r="C26" s="16" t="s">
        <v>438</v>
      </c>
      <c r="E26" s="16" t="s">
        <v>92</v>
      </c>
      <c r="F26" s="17">
        <v>976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358</v>
      </c>
      <c r="C27" s="16" t="s">
        <v>167</v>
      </c>
      <c r="E27" s="16" t="s">
        <v>92</v>
      </c>
      <c r="F27" s="17">
        <v>924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439</v>
      </c>
      <c r="C28" s="16" t="s">
        <v>440</v>
      </c>
      <c r="E28" s="16" t="s">
        <v>116</v>
      </c>
      <c r="F28" s="17">
        <v>1222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441</v>
      </c>
      <c r="C29" s="16" t="s">
        <v>442</v>
      </c>
      <c r="E29" s="16" t="s">
        <v>116</v>
      </c>
      <c r="F29" s="17">
        <v>1279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443</v>
      </c>
      <c r="C30" s="16" t="s">
        <v>444</v>
      </c>
      <c r="E30" s="16" t="s">
        <v>77</v>
      </c>
      <c r="F30" s="17">
        <v>1477</v>
      </c>
      <c r="G30" s="17" t="s">
        <v>108</v>
      </c>
      <c r="H30" s="9" t="s">
        <v>34</v>
      </c>
      <c r="I30" s="1"/>
    </row>
    <row r="31" spans="1:9" ht="14" x14ac:dyDescent="0.3">
      <c r="A31" s="6">
        <v>12</v>
      </c>
      <c r="B31" s="15" t="s">
        <v>445</v>
      </c>
      <c r="C31" s="16" t="s">
        <v>446</v>
      </c>
      <c r="E31" s="16" t="s">
        <v>80</v>
      </c>
      <c r="F31" s="17">
        <v>57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447</v>
      </c>
      <c r="C32" s="16" t="s">
        <v>448</v>
      </c>
      <c r="E32" s="16" t="s">
        <v>95</v>
      </c>
      <c r="F32" s="17">
        <v>236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449</v>
      </c>
      <c r="C33" s="16" t="s">
        <v>450</v>
      </c>
      <c r="E33" s="16" t="s">
        <v>95</v>
      </c>
      <c r="F33" s="17">
        <v>184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451</v>
      </c>
      <c r="C34" s="16" t="s">
        <v>452</v>
      </c>
      <c r="E34" s="16" t="s">
        <v>74</v>
      </c>
      <c r="F34" s="17">
        <v>380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34 E20:F34 B35:E40">
    <cfRule type="expression" dxfId="41" priority="7" stopIfTrue="1">
      <formula>MOD(ROW(),2)=0</formula>
    </cfRule>
    <cfRule type="expression" dxfId="40" priority="8" stopIfTrue="1">
      <formula>MOD(ROW(),2)=1</formula>
    </cfRule>
  </conditionalFormatting>
  <conditionalFormatting sqref="C20">
    <cfRule type="expression" dxfId="39" priority="5" stopIfTrue="1">
      <formula>MOD(ROW(),2)=0</formula>
    </cfRule>
    <cfRule type="expression" dxfId="38" priority="6" stopIfTrue="1">
      <formula>MOD(ROW(),2)=1</formula>
    </cfRule>
  </conditionalFormatting>
  <conditionalFormatting sqref="F20:G40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topLeftCell="A12" zoomScaleNormal="100" workbookViewId="0">
      <selection activeCell="G25" sqref="G25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66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7851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3406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2551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855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0.43383008533944722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12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9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3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453</v>
      </c>
      <c r="C20" s="13" t="s">
        <v>253</v>
      </c>
      <c r="E20" s="13" t="s">
        <v>74</v>
      </c>
      <c r="F20" s="14">
        <v>275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454</v>
      </c>
      <c r="C21" s="16" t="s">
        <v>455</v>
      </c>
      <c r="E21" s="16" t="s">
        <v>83</v>
      </c>
      <c r="F21" s="17">
        <v>968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296</v>
      </c>
      <c r="C22" s="16" t="s">
        <v>456</v>
      </c>
      <c r="E22" s="16" t="s">
        <v>77</v>
      </c>
      <c r="F22" s="17">
        <v>1483</v>
      </c>
      <c r="G22" s="17" t="s">
        <v>108</v>
      </c>
      <c r="H22" s="9" t="s">
        <v>26</v>
      </c>
      <c r="I22" s="1"/>
    </row>
    <row r="23" spans="1:9" ht="14" x14ac:dyDescent="0.3">
      <c r="A23" s="6">
        <v>4</v>
      </c>
      <c r="B23" s="15" t="s">
        <v>437</v>
      </c>
      <c r="C23" s="16" t="s">
        <v>457</v>
      </c>
      <c r="E23" s="16" t="s">
        <v>92</v>
      </c>
      <c r="F23" s="17">
        <v>475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458</v>
      </c>
      <c r="C24" s="16" t="s">
        <v>459</v>
      </c>
      <c r="E24" s="16" t="s">
        <v>77</v>
      </c>
      <c r="F24" s="17">
        <v>1569</v>
      </c>
      <c r="G24" s="17" t="s">
        <v>108</v>
      </c>
      <c r="H24" s="9" t="s">
        <v>28</v>
      </c>
      <c r="I24" s="1"/>
    </row>
    <row r="25" spans="1:9" ht="14" x14ac:dyDescent="0.3">
      <c r="A25" s="6">
        <v>6</v>
      </c>
      <c r="B25" s="15" t="s">
        <v>460</v>
      </c>
      <c r="C25" s="16" t="s">
        <v>461</v>
      </c>
      <c r="E25" s="16" t="s">
        <v>95</v>
      </c>
      <c r="F25" s="17">
        <v>141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462</v>
      </c>
      <c r="C26" s="16" t="s">
        <v>146</v>
      </c>
      <c r="E26" s="16" t="s">
        <v>74</v>
      </c>
      <c r="F26" s="17">
        <v>225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463</v>
      </c>
      <c r="C27" s="16" t="s">
        <v>464</v>
      </c>
      <c r="E27" s="16" t="s">
        <v>95</v>
      </c>
      <c r="F27" s="17">
        <v>108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465</v>
      </c>
      <c r="C28" s="16" t="s">
        <v>466</v>
      </c>
      <c r="E28" s="16" t="s">
        <v>83</v>
      </c>
      <c r="F28" s="17">
        <v>830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467</v>
      </c>
      <c r="C29" s="16" t="s">
        <v>388</v>
      </c>
      <c r="E29" s="16" t="s">
        <v>92</v>
      </c>
      <c r="F29" s="17">
        <v>466</v>
      </c>
      <c r="G29" s="17"/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29 E20:F29 B30:E40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C20">
    <cfRule type="expression" dxfId="33" priority="5" stopIfTrue="1">
      <formula>MOD(ROW(),2)=0</formula>
    </cfRule>
    <cfRule type="expression" dxfId="32" priority="6" stopIfTrue="1">
      <formula>MOD(ROW(),2)=1</formula>
    </cfRule>
  </conditionalFormatting>
  <conditionalFormatting sqref="F20:G40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topLeftCell="A4" zoomScaleNormal="100" workbookViewId="0">
      <selection activeCell="G28" sqref="G28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67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7878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2532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1692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840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0.32140137090632143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12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9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3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468</v>
      </c>
      <c r="C20" s="13" t="s">
        <v>469</v>
      </c>
      <c r="E20" s="13" t="s">
        <v>77</v>
      </c>
      <c r="F20" s="14">
        <v>477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470</v>
      </c>
      <c r="C21" s="16" t="s">
        <v>471</v>
      </c>
      <c r="E21" s="16" t="s">
        <v>77</v>
      </c>
      <c r="F21" s="17">
        <v>412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472</v>
      </c>
      <c r="C22" s="16" t="s">
        <v>473</v>
      </c>
      <c r="E22" s="16" t="s">
        <v>92</v>
      </c>
      <c r="F22" s="17">
        <v>537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474</v>
      </c>
      <c r="C23" s="16" t="s">
        <v>475</v>
      </c>
      <c r="E23" s="16" t="s">
        <v>116</v>
      </c>
      <c r="F23" s="17">
        <v>1186</v>
      </c>
      <c r="G23" s="17" t="s">
        <v>108</v>
      </c>
      <c r="H23" s="9" t="s">
        <v>27</v>
      </c>
      <c r="I23" s="1"/>
    </row>
    <row r="24" spans="1:9" ht="14" x14ac:dyDescent="0.3">
      <c r="A24" s="6">
        <v>5</v>
      </c>
      <c r="B24" s="15" t="s">
        <v>476</v>
      </c>
      <c r="C24" s="16" t="s">
        <v>477</v>
      </c>
      <c r="E24" s="16" t="s">
        <v>92</v>
      </c>
      <c r="F24" s="17">
        <v>486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478</v>
      </c>
      <c r="C25" s="16" t="s">
        <v>479</v>
      </c>
      <c r="E25" s="16" t="s">
        <v>74</v>
      </c>
      <c r="F25" s="17">
        <v>204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480</v>
      </c>
      <c r="C26" s="16" t="s">
        <v>481</v>
      </c>
      <c r="E26" s="16" t="s">
        <v>95</v>
      </c>
      <c r="F26" s="17">
        <v>89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482</v>
      </c>
      <c r="C27" s="16" t="s">
        <v>483</v>
      </c>
      <c r="E27" s="16" t="s">
        <v>116</v>
      </c>
      <c r="F27" s="17">
        <v>1202</v>
      </c>
      <c r="G27" s="17" t="s">
        <v>108</v>
      </c>
      <c r="H27" s="9" t="s">
        <v>31</v>
      </c>
      <c r="I27" s="1"/>
    </row>
    <row r="28" spans="1:9" ht="14" x14ac:dyDescent="0.3">
      <c r="A28" s="6">
        <v>9</v>
      </c>
      <c r="B28" s="15" t="s">
        <v>484</v>
      </c>
      <c r="C28" s="16" t="s">
        <v>485</v>
      </c>
      <c r="E28" s="16" t="s">
        <v>95</v>
      </c>
      <c r="F28" s="17">
        <v>66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486</v>
      </c>
      <c r="C29" s="16" t="s">
        <v>192</v>
      </c>
      <c r="E29" s="16" t="s">
        <v>74</v>
      </c>
      <c r="F29" s="17">
        <v>161</v>
      </c>
      <c r="G29" s="17"/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29 E20:F29 B30:E40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C20">
    <cfRule type="expression" dxfId="27" priority="5" stopIfTrue="1">
      <formula>MOD(ROW(),2)=0</formula>
    </cfRule>
    <cfRule type="expression" dxfId="26" priority="6" stopIfTrue="1">
      <formula>MOD(ROW(),2)=1</formula>
    </cfRule>
  </conditionalFormatting>
  <conditionalFormatting sqref="F20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topLeftCell="A4" zoomScaleNormal="100" workbookViewId="0">
      <selection activeCell="G30" sqref="G3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68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6861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2081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1381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700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0.30330855560413933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14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8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72</v>
      </c>
      <c r="C20" s="13" t="s">
        <v>487</v>
      </c>
      <c r="E20" s="13" t="s">
        <v>74</v>
      </c>
      <c r="F20" s="14">
        <v>223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488</v>
      </c>
      <c r="C21" s="16" t="s">
        <v>489</v>
      </c>
      <c r="E21" s="16" t="s">
        <v>83</v>
      </c>
      <c r="F21" s="17">
        <v>718</v>
      </c>
      <c r="G21" s="17" t="s">
        <v>108</v>
      </c>
      <c r="H21" s="9" t="s">
        <v>25</v>
      </c>
      <c r="I21" s="1"/>
    </row>
    <row r="22" spans="1:9" ht="14" x14ac:dyDescent="0.3">
      <c r="A22" s="6">
        <v>3</v>
      </c>
      <c r="B22" s="15" t="s">
        <v>490</v>
      </c>
      <c r="C22" s="16" t="s">
        <v>491</v>
      </c>
      <c r="E22" s="16" t="s">
        <v>92</v>
      </c>
      <c r="F22" s="17">
        <v>341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492</v>
      </c>
      <c r="C23" s="16" t="s">
        <v>493</v>
      </c>
      <c r="E23" s="16" t="s">
        <v>77</v>
      </c>
      <c r="F23" s="17">
        <v>572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494</v>
      </c>
      <c r="C24" s="16" t="s">
        <v>495</v>
      </c>
      <c r="E24" s="16" t="s">
        <v>92</v>
      </c>
      <c r="F24" s="17">
        <v>276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496</v>
      </c>
      <c r="C25" s="16" t="s">
        <v>497</v>
      </c>
      <c r="E25" s="16" t="s">
        <v>77</v>
      </c>
      <c r="F25" s="17">
        <v>561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498</v>
      </c>
      <c r="C26" s="16" t="s">
        <v>499</v>
      </c>
      <c r="E26" s="16" t="s">
        <v>95</v>
      </c>
      <c r="F26" s="17">
        <v>328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500</v>
      </c>
      <c r="C27" s="16" t="s">
        <v>501</v>
      </c>
      <c r="E27" s="16" t="s">
        <v>74</v>
      </c>
      <c r="F27" s="17">
        <v>187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502</v>
      </c>
      <c r="C28" s="16" t="s">
        <v>503</v>
      </c>
      <c r="E28" s="16" t="s">
        <v>95</v>
      </c>
      <c r="F28" s="17">
        <v>210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504</v>
      </c>
      <c r="C29" s="16" t="s">
        <v>505</v>
      </c>
      <c r="E29" s="16" t="s">
        <v>83</v>
      </c>
      <c r="F29" s="17">
        <v>589</v>
      </c>
      <c r="G29" s="17" t="s">
        <v>108</v>
      </c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29 E20:F29 B30:E40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C20">
    <cfRule type="expression" dxfId="21" priority="5" stopIfTrue="1">
      <formula>MOD(ROW(),2)=0</formula>
    </cfRule>
    <cfRule type="expression" dxfId="20" priority="6" stopIfTrue="1">
      <formula>MOD(ROW(),2)=1</formula>
    </cfRule>
  </conditionalFormatting>
  <conditionalFormatting sqref="F20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1:I44"/>
  <sheetViews>
    <sheetView showGridLines="0" topLeftCell="A8" zoomScaleNormal="100" workbookViewId="0">
      <selection activeCell="G35" sqref="G35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69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8835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3257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2265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992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0.36864742501414827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48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21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27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506</v>
      </c>
      <c r="C20" s="13" t="s">
        <v>507</v>
      </c>
      <c r="E20" s="13" t="s">
        <v>116</v>
      </c>
      <c r="F20" s="14">
        <v>1249</v>
      </c>
      <c r="G20" s="14" t="s">
        <v>108</v>
      </c>
      <c r="H20" s="9" t="s">
        <v>24</v>
      </c>
      <c r="I20" s="1"/>
    </row>
    <row r="21" spans="1:9" ht="14" x14ac:dyDescent="0.3">
      <c r="A21" s="6">
        <v>2</v>
      </c>
      <c r="B21" s="15" t="s">
        <v>508</v>
      </c>
      <c r="C21" s="16" t="s">
        <v>392</v>
      </c>
      <c r="E21" s="16" t="s">
        <v>92</v>
      </c>
      <c r="F21" s="17">
        <v>411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509</v>
      </c>
      <c r="C22" s="16" t="s">
        <v>388</v>
      </c>
      <c r="E22" s="16" t="s">
        <v>74</v>
      </c>
      <c r="F22" s="17">
        <v>417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510</v>
      </c>
      <c r="C23" s="16" t="s">
        <v>489</v>
      </c>
      <c r="E23" s="16" t="s">
        <v>77</v>
      </c>
      <c r="F23" s="17">
        <v>1023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258</v>
      </c>
      <c r="C24" s="16" t="s">
        <v>511</v>
      </c>
      <c r="E24" s="16" t="s">
        <v>74</v>
      </c>
      <c r="F24" s="17">
        <v>345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512</v>
      </c>
      <c r="C25" s="16" t="s">
        <v>513</v>
      </c>
      <c r="E25" s="16" t="s">
        <v>77</v>
      </c>
      <c r="F25" s="17">
        <v>976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514</v>
      </c>
      <c r="C26" s="16" t="s">
        <v>515</v>
      </c>
      <c r="E26" s="16" t="s">
        <v>77</v>
      </c>
      <c r="F26" s="17">
        <v>967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155</v>
      </c>
      <c r="C27" s="16" t="s">
        <v>516</v>
      </c>
      <c r="E27" s="16" t="s">
        <v>92</v>
      </c>
      <c r="F27" s="17">
        <v>386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517</v>
      </c>
      <c r="C28" s="16" t="s">
        <v>146</v>
      </c>
      <c r="E28" s="16" t="s">
        <v>116</v>
      </c>
      <c r="F28" s="17">
        <v>1103</v>
      </c>
      <c r="G28" s="17" t="s">
        <v>108</v>
      </c>
      <c r="H28" s="9" t="s">
        <v>32</v>
      </c>
      <c r="I28" s="1"/>
    </row>
    <row r="29" spans="1:9" ht="14" x14ac:dyDescent="0.3">
      <c r="A29" s="6">
        <v>10</v>
      </c>
      <c r="B29" s="15" t="s">
        <v>518</v>
      </c>
      <c r="C29" s="16" t="s">
        <v>281</v>
      </c>
      <c r="E29" s="16" t="s">
        <v>95</v>
      </c>
      <c r="F29" s="17">
        <v>295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519</v>
      </c>
      <c r="C30" s="16" t="s">
        <v>520</v>
      </c>
      <c r="E30" s="16" t="s">
        <v>95</v>
      </c>
      <c r="F30" s="17">
        <v>283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521</v>
      </c>
      <c r="C31" s="16" t="s">
        <v>522</v>
      </c>
      <c r="E31" s="16" t="s">
        <v>92</v>
      </c>
      <c r="F31" s="17">
        <v>350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523</v>
      </c>
      <c r="C32" s="16" t="s">
        <v>524</v>
      </c>
      <c r="E32" s="16" t="s">
        <v>74</v>
      </c>
      <c r="F32" s="17">
        <v>343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525</v>
      </c>
      <c r="C33" s="16" t="s">
        <v>526</v>
      </c>
      <c r="E33" s="16" t="s">
        <v>95</v>
      </c>
      <c r="F33" s="17">
        <v>238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303</v>
      </c>
      <c r="C34" s="16" t="s">
        <v>527</v>
      </c>
      <c r="E34" s="16" t="s">
        <v>116</v>
      </c>
      <c r="F34" s="17">
        <v>1072</v>
      </c>
      <c r="G34" s="17" t="s">
        <v>108</v>
      </c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34 E20:F34 B35:E40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C20">
    <cfRule type="expression" dxfId="15" priority="5" stopIfTrue="1">
      <formula>MOD(ROW(),2)=0</formula>
    </cfRule>
    <cfRule type="expression" dxfId="14" priority="6" stopIfTrue="1">
      <formula>MOD(ROW(),2)=1</formula>
    </cfRule>
  </conditionalFormatting>
  <conditionalFormatting sqref="F20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I44"/>
  <sheetViews>
    <sheetView showGridLines="0" topLeftCell="A8" zoomScaleNormal="100" workbookViewId="0">
      <selection activeCell="G29" sqref="G29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70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8054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2560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1737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823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0.3178544822448473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22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8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4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10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528</v>
      </c>
      <c r="C20" s="13" t="s">
        <v>529</v>
      </c>
      <c r="E20" s="13" t="s">
        <v>95</v>
      </c>
      <c r="F20" s="14">
        <v>139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530</v>
      </c>
      <c r="C21" s="16" t="s">
        <v>329</v>
      </c>
      <c r="E21" s="16" t="s">
        <v>92</v>
      </c>
      <c r="F21" s="17">
        <v>317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531</v>
      </c>
      <c r="C22" s="16" t="s">
        <v>532</v>
      </c>
      <c r="E22" s="16" t="s">
        <v>77</v>
      </c>
      <c r="F22" s="17">
        <v>808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533</v>
      </c>
      <c r="C23" s="16" t="s">
        <v>371</v>
      </c>
      <c r="E23" s="16" t="s">
        <v>95</v>
      </c>
      <c r="F23" s="17">
        <v>146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534</v>
      </c>
      <c r="C24" s="16" t="s">
        <v>535</v>
      </c>
      <c r="E24" s="16" t="s">
        <v>116</v>
      </c>
      <c r="F24" s="17">
        <v>1056</v>
      </c>
      <c r="G24" s="17" t="s">
        <v>180</v>
      </c>
      <c r="H24" s="9" t="s">
        <v>28</v>
      </c>
      <c r="I24" s="1"/>
    </row>
    <row r="25" spans="1:9" ht="14" x14ac:dyDescent="0.3">
      <c r="A25" s="6">
        <v>6</v>
      </c>
      <c r="B25" s="15" t="s">
        <v>536</v>
      </c>
      <c r="C25" s="16" t="s">
        <v>537</v>
      </c>
      <c r="E25" s="16" t="s">
        <v>77</v>
      </c>
      <c r="F25" s="17">
        <v>666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538</v>
      </c>
      <c r="C26" s="16" t="s">
        <v>539</v>
      </c>
      <c r="E26" s="16" t="s">
        <v>92</v>
      </c>
      <c r="F26" s="17">
        <v>341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478</v>
      </c>
      <c r="C27" s="16" t="s">
        <v>540</v>
      </c>
      <c r="E27" s="16" t="s">
        <v>74</v>
      </c>
      <c r="F27" s="17">
        <v>208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541</v>
      </c>
      <c r="C28" s="16" t="s">
        <v>277</v>
      </c>
      <c r="E28" s="16" t="s">
        <v>116</v>
      </c>
      <c r="F28" s="17">
        <v>1032</v>
      </c>
      <c r="G28" s="17" t="s">
        <v>180</v>
      </c>
      <c r="H28" s="9" t="s">
        <v>32</v>
      </c>
      <c r="I28" s="1"/>
    </row>
    <row r="29" spans="1:9" ht="14" x14ac:dyDescent="0.3">
      <c r="A29" s="6">
        <v>10</v>
      </c>
      <c r="B29" s="15" t="s">
        <v>542</v>
      </c>
      <c r="C29" s="16" t="s">
        <v>298</v>
      </c>
      <c r="E29" s="16" t="s">
        <v>74</v>
      </c>
      <c r="F29" s="17">
        <v>194</v>
      </c>
      <c r="G29" s="17"/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29 E20:F29 B30:E40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C20">
    <cfRule type="expression" dxfId="9" priority="5" stopIfTrue="1">
      <formula>MOD(ROW(),2)=0</formula>
    </cfRule>
    <cfRule type="expression" dxfId="8" priority="6" stopIfTrue="1">
      <formula>MOD(ROW(),2)=1</formula>
    </cfRule>
  </conditionalFormatting>
  <conditionalFormatting sqref="F20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"/>
  <dimension ref="A1:I44"/>
  <sheetViews>
    <sheetView showGridLines="0" tabSelected="1" zoomScaleNormal="100" workbookViewId="0">
      <selection activeCell="A2" sqref="A2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71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7655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2748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f>G8-G10</f>
        <v>1916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832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0">
        <f>G8/G7</f>
        <v>0.35898105813193992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f>SUM(G13:G17)</f>
        <v>26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12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14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543</v>
      </c>
      <c r="C20" s="13" t="s">
        <v>82</v>
      </c>
      <c r="E20" s="13" t="s">
        <v>415</v>
      </c>
      <c r="F20" s="14">
        <v>344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544</v>
      </c>
      <c r="C21" s="16" t="s">
        <v>388</v>
      </c>
      <c r="E21" s="16" t="s">
        <v>74</v>
      </c>
      <c r="F21" s="17">
        <v>289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545</v>
      </c>
      <c r="C22" s="16" t="s">
        <v>546</v>
      </c>
      <c r="E22" s="16" t="s">
        <v>92</v>
      </c>
      <c r="F22" s="17">
        <v>387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547</v>
      </c>
      <c r="C23" s="16" t="s">
        <v>548</v>
      </c>
      <c r="E23" s="16" t="s">
        <v>77</v>
      </c>
      <c r="F23" s="17">
        <v>580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549</v>
      </c>
      <c r="C24" s="16" t="s">
        <v>550</v>
      </c>
      <c r="E24" s="16" t="s">
        <v>77</v>
      </c>
      <c r="F24" s="17">
        <v>779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551</v>
      </c>
      <c r="C25" s="16" t="s">
        <v>552</v>
      </c>
      <c r="E25" s="16" t="s">
        <v>74</v>
      </c>
      <c r="F25" s="17">
        <v>227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553</v>
      </c>
      <c r="C26" s="16" t="s">
        <v>184</v>
      </c>
      <c r="E26" s="16" t="s">
        <v>95</v>
      </c>
      <c r="F26" s="17">
        <v>163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554</v>
      </c>
      <c r="C27" s="16" t="s">
        <v>555</v>
      </c>
      <c r="E27" s="16" t="s">
        <v>116</v>
      </c>
      <c r="F27" s="17">
        <v>1082</v>
      </c>
      <c r="G27" s="17" t="s">
        <v>108</v>
      </c>
      <c r="H27" s="9" t="s">
        <v>31</v>
      </c>
      <c r="I27" s="1"/>
    </row>
    <row r="28" spans="1:9" ht="14" x14ac:dyDescent="0.3">
      <c r="A28" s="6">
        <v>9</v>
      </c>
      <c r="B28" s="15" t="s">
        <v>556</v>
      </c>
      <c r="C28" s="16" t="s">
        <v>557</v>
      </c>
      <c r="E28" s="16" t="s">
        <v>95</v>
      </c>
      <c r="F28" s="17">
        <v>93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314</v>
      </c>
      <c r="C29" s="16" t="s">
        <v>558</v>
      </c>
      <c r="E29" s="16" t="s">
        <v>92</v>
      </c>
      <c r="F29" s="17">
        <v>372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559</v>
      </c>
      <c r="C30" s="16" t="s">
        <v>560</v>
      </c>
      <c r="E30" s="16" t="s">
        <v>116</v>
      </c>
      <c r="F30" s="17">
        <v>972</v>
      </c>
      <c r="G30" s="17" t="s">
        <v>108</v>
      </c>
      <c r="H30" s="9" t="s">
        <v>34</v>
      </c>
      <c r="I30" s="1"/>
    </row>
    <row r="31" spans="1:9" ht="14" x14ac:dyDescent="0.3">
      <c r="A31" s="6">
        <v>12</v>
      </c>
      <c r="B31" s="15"/>
      <c r="C31" s="16"/>
      <c r="E31" s="16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C31 E20:F31 B32:E40">
    <cfRule type="expression" dxfId="5" priority="7" stopIfTrue="1">
      <formula>MOD(ROW(),2)=0</formula>
    </cfRule>
    <cfRule type="expression" dxfId="4" priority="8" stopIfTrue="1">
      <formula>MOD(ROW(),2)=1</formula>
    </cfRule>
  </conditionalFormatting>
  <conditionalFormatting sqref="C20">
    <cfRule type="expression" dxfId="3" priority="5" stopIfTrue="1">
      <formula>MOD(ROW(),2)=0</formula>
    </cfRule>
    <cfRule type="expression" dxfId="2" priority="6" stopIfTrue="1">
      <formula>MOD(ROW(),2)=1</formula>
    </cfRule>
  </conditionalFormatting>
  <conditionalFormatting sqref="F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Abbey Wood</vt:lpstr>
      <vt:lpstr>Blackheath ...</vt:lpstr>
      <vt:lpstr>Charlton Ho...</vt:lpstr>
      <vt:lpstr>Charlton Vi...</vt:lpstr>
      <vt:lpstr>East Greenwich</vt:lpstr>
      <vt:lpstr>Eltham Page</vt:lpstr>
      <vt:lpstr>Eltham Park...</vt:lpstr>
      <vt:lpstr>Eltham Town...</vt:lpstr>
      <vt:lpstr>Greenwich C...</vt:lpstr>
      <vt:lpstr>Greenwich Park</vt:lpstr>
      <vt:lpstr>Greenwich P...</vt:lpstr>
      <vt:lpstr>Kidbrooke Park</vt:lpstr>
      <vt:lpstr>Kidbrooke V...</vt:lpstr>
      <vt:lpstr>Middle Park...</vt:lpstr>
      <vt:lpstr>Mottingham,...</vt:lpstr>
      <vt:lpstr>Plumstead &amp;...</vt:lpstr>
      <vt:lpstr>Plumstead C...</vt:lpstr>
      <vt:lpstr>Shooters Hill</vt:lpstr>
      <vt:lpstr>Thamesmead ...</vt:lpstr>
      <vt:lpstr>West Thames...</vt:lpstr>
      <vt:lpstr>Woolwich Ar...</vt:lpstr>
      <vt:lpstr>Woolwich Co...</vt:lpstr>
      <vt:lpstr>Woolwich Do...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Matt Willis</cp:lastModifiedBy>
  <cp:revision/>
  <dcterms:created xsi:type="dcterms:W3CDTF">2010-04-26T09:06:52Z</dcterms:created>
  <dcterms:modified xsi:type="dcterms:W3CDTF">2026-06-17T10:44:05Z</dcterms:modified>
  <cp:category/>
  <cp:contentStatus/>
</cp:coreProperties>
</file>