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W:\S_law_law\Electoral Services\Glenn\ELECTORAL SERVICES\ELECTIONS\2026 - Local and Mayoral Elections\EC\"/>
    </mc:Choice>
  </mc:AlternateContent>
  <xr:revisionPtr revIDLastSave="0" documentId="13_ncr:1_{15717ACA-9051-48CF-BF13-D51F5F2E2DB9}" xr6:coauthVersionLast="47" xr6:coauthVersionMax="47" xr10:uidLastSave="{00000000-0000-0000-0000-000000000000}"/>
  <bookViews>
    <workbookView xWindow="9310" yWindow="0" windowWidth="9980" windowHeight="11370" firstSheet="17" activeTab="18" xr2:uid="{00000000-000D-0000-FFFF-FFFF00000000}"/>
  </bookViews>
  <sheets>
    <sheet name="Bellingham" sheetId="5" r:id="rId1"/>
    <sheet name="Blackheath" sheetId="6" r:id="rId2"/>
    <sheet name="Brockley" sheetId="7" r:id="rId3"/>
    <sheet name="Catford South" sheetId="8" r:id="rId4"/>
    <sheet name="Crofton Park" sheetId="9" r:id="rId5"/>
    <sheet name="Deptford" sheetId="10" r:id="rId6"/>
    <sheet name="Downham" sheetId="11" r:id="rId7"/>
    <sheet name="Evelyn" sheetId="12" r:id="rId8"/>
    <sheet name="Forest Hill" sheetId="13" r:id="rId9"/>
    <sheet name="Grove Park" sheetId="14" r:id="rId10"/>
    <sheet name="Hither Green" sheetId="15" r:id="rId11"/>
    <sheet name="Ladywell" sheetId="16" r:id="rId12"/>
    <sheet name="Lee Green" sheetId="17" r:id="rId13"/>
    <sheet name="Lewisham Ce..." sheetId="18" r:id="rId14"/>
    <sheet name="New Cross Gate" sheetId="19" r:id="rId15"/>
    <sheet name="Perry Vale" sheetId="20" r:id="rId16"/>
    <sheet name="Rushey Green" sheetId="21" r:id="rId17"/>
    <sheet name="Sydenham" sheetId="22" r:id="rId18"/>
    <sheet name="Telegraph Hill" sheetId="23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3" l="1"/>
  <c r="G11" i="22"/>
  <c r="G11" i="21"/>
  <c r="G11" i="20"/>
  <c r="G11" i="19"/>
  <c r="G11" i="18"/>
  <c r="G11" i="17"/>
  <c r="G11" i="16"/>
  <c r="G11" i="15"/>
  <c r="G11" i="14"/>
  <c r="G11" i="13"/>
  <c r="G11" i="12"/>
  <c r="G11" i="11"/>
  <c r="G11" i="10"/>
  <c r="G11" i="9"/>
  <c r="G11" i="8"/>
  <c r="G11" i="7"/>
  <c r="G11" i="6"/>
  <c r="G11" i="5"/>
</calcChain>
</file>

<file path=xl/sharedStrings.xml><?xml version="1.0" encoding="utf-8"?>
<sst xmlns="http://schemas.openxmlformats.org/spreadsheetml/2006/main" count="2028" uniqueCount="755">
  <si>
    <t>Report of Election for the Greater London Authority</t>
  </si>
  <si>
    <t>Please fill in the form as completely as possible before returning to joe.heywood@london.gov.uk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</si>
  <si>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</si>
  <si>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</si>
  <si>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</si>
  <si>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</si>
  <si>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</si>
  <si>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</si>
  <si>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</si>
  <si>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</si>
  <si>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</si>
  <si>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</si>
  <si>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</si>
  <si>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</si>
  <si>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</si>
  <si>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</si>
  <si>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</si>
  <si>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</si>
  <si>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</si>
  <si>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</si>
  <si>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</si>
  <si>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</si>
  <si>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</si>
  <si>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</si>
  <si>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</si>
  <si>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</si>
  <si>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</si>
  <si>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</si>
  <si>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</si>
  <si>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</si>
  <si>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</si>
  <si>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</si>
  <si>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</si>
  <si>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</si>
  <si>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</si>
  <si>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</si>
  <si>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</si>
  <si>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</si>
  <si>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</si>
  <si>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</si>
  <si>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</si>
  <si>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</si>
  <si>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</si>
  <si>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</si>
  <si>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</si>
  <si>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Lewisham</t>
  </si>
  <si>
    <t>7 May 2026</t>
  </si>
  <si>
    <t>Bellingham</t>
  </si>
  <si>
    <t>2</t>
  </si>
  <si>
    <t>Blackheath</t>
  </si>
  <si>
    <t>3</t>
  </si>
  <si>
    <t>Brockley</t>
  </si>
  <si>
    <t>Catford South</t>
  </si>
  <si>
    <t>Crofton Park</t>
  </si>
  <si>
    <t>Deptford</t>
  </si>
  <si>
    <t>Downham</t>
  </si>
  <si>
    <t>Evelyn</t>
  </si>
  <si>
    <t>Forest Hill</t>
  </si>
  <si>
    <t>Grove Park</t>
  </si>
  <si>
    <t>Hither Green</t>
  </si>
  <si>
    <t>Ladywell</t>
  </si>
  <si>
    <t>Lee Green</t>
  </si>
  <si>
    <t>Lewisham Central</t>
  </si>
  <si>
    <t>New Cross Gate</t>
  </si>
  <si>
    <t>Perry Vale</t>
  </si>
  <si>
    <t>Rushey Green</t>
  </si>
  <si>
    <t>Sydenham</t>
  </si>
  <si>
    <t>Telegraph Hill</t>
  </si>
  <si>
    <t>Moore</t>
  </si>
  <si>
    <t>Labour &amp; Co-operative</t>
  </si>
  <si>
    <t>838</t>
  </si>
  <si>
    <t>Penfold</t>
  </si>
  <si>
    <t>Bucolo</t>
  </si>
  <si>
    <t>Mario</t>
  </si>
  <si>
    <t>Conservative</t>
  </si>
  <si>
    <t>Evans</t>
  </si>
  <si>
    <t>James</t>
  </si>
  <si>
    <t>Independent</t>
  </si>
  <si>
    <t>Giddings</t>
  </si>
  <si>
    <t>Belinda</t>
  </si>
  <si>
    <t>Lawrence</t>
  </si>
  <si>
    <t>Jane</t>
  </si>
  <si>
    <t>The Motoring Party</t>
  </si>
  <si>
    <t>Gavin</t>
  </si>
  <si>
    <t xml:space="preserve">Labour and Co-operative </t>
  </si>
  <si>
    <t>Moro</t>
  </si>
  <si>
    <t>Fabio</t>
  </si>
  <si>
    <t>Morris</t>
  </si>
  <si>
    <t>Sarah</t>
  </si>
  <si>
    <t>Liberal Democrats</t>
  </si>
  <si>
    <t>Reform UK</t>
  </si>
  <si>
    <t>Nadja</t>
  </si>
  <si>
    <t>Green</t>
  </si>
  <si>
    <t>Pinfold</t>
  </si>
  <si>
    <t>John</t>
  </si>
  <si>
    <t>Ryan</t>
  </si>
  <si>
    <t>George</t>
  </si>
  <si>
    <t>Wood</t>
  </si>
  <si>
    <t>Stuart</t>
  </si>
  <si>
    <t>689</t>
  </si>
  <si>
    <t>681</t>
  </si>
  <si>
    <t>590</t>
  </si>
  <si>
    <t>352</t>
  </si>
  <si>
    <t>333</t>
  </si>
  <si>
    <t>164</t>
  </si>
  <si>
    <t>161</t>
  </si>
  <si>
    <t>155</t>
  </si>
  <si>
    <t>74</t>
  </si>
  <si>
    <t>31</t>
  </si>
  <si>
    <t>x</t>
  </si>
  <si>
    <t>Attfield</t>
  </si>
  <si>
    <t>Caroline</t>
  </si>
  <si>
    <t>Branch</t>
  </si>
  <si>
    <t>Jean</t>
  </si>
  <si>
    <t>Brooks</t>
  </si>
  <si>
    <t>Charlotte</t>
  </si>
  <si>
    <t>Pauline</t>
  </si>
  <si>
    <t>Gordon</t>
  </si>
  <si>
    <t>Iain</t>
  </si>
  <si>
    <t>Harding</t>
  </si>
  <si>
    <t>Christopher</t>
  </si>
  <si>
    <t>Conservatives</t>
  </si>
  <si>
    <t>Jones</t>
  </si>
  <si>
    <t>Rebecca</t>
  </si>
  <si>
    <t>Maines</t>
  </si>
  <si>
    <t>Martin</t>
  </si>
  <si>
    <t>Tracey</t>
  </si>
  <si>
    <t>Membu</t>
  </si>
  <si>
    <t>Chris</t>
  </si>
  <si>
    <t>Ramrayka</t>
  </si>
  <si>
    <t>Peter</t>
  </si>
  <si>
    <t>Rand</t>
  </si>
  <si>
    <t>Ben</t>
  </si>
  <si>
    <t>Richard</t>
  </si>
  <si>
    <t>Smith</t>
  </si>
  <si>
    <t>Warner</t>
  </si>
  <si>
    <t>Luke</t>
  </si>
  <si>
    <t>Weatherall</t>
  </si>
  <si>
    <t>Neil</t>
  </si>
  <si>
    <t>1890</t>
  </si>
  <si>
    <t>1626</t>
  </si>
  <si>
    <t>1624</t>
  </si>
  <si>
    <t>1535</t>
  </si>
  <si>
    <t>1358</t>
  </si>
  <si>
    <t>1341</t>
  </si>
  <si>
    <t>1331</t>
  </si>
  <si>
    <t>1281</t>
  </si>
  <si>
    <t>1144</t>
  </si>
  <si>
    <t>416</t>
  </si>
  <si>
    <t>398</t>
  </si>
  <si>
    <t>318</t>
  </si>
  <si>
    <t>299</t>
  </si>
  <si>
    <t>Dall</t>
  </si>
  <si>
    <t>Adewunmi</t>
  </si>
  <si>
    <t>Ade</t>
  </si>
  <si>
    <t>Benson</t>
  </si>
  <si>
    <t>Felicity</t>
  </si>
  <si>
    <t>Eiles</t>
  </si>
  <si>
    <t>Sian</t>
  </si>
  <si>
    <t>Fry</t>
  </si>
  <si>
    <t>El</t>
  </si>
  <si>
    <t>Mawby</t>
  </si>
  <si>
    <t>Michael</t>
  </si>
  <si>
    <t>Morton</t>
  </si>
  <si>
    <t>Jay</t>
  </si>
  <si>
    <t xml:space="preserve">Parker Humphreys </t>
  </si>
  <si>
    <t>Edward</t>
  </si>
  <si>
    <t>Pratt</t>
  </si>
  <si>
    <t>Karen</t>
  </si>
  <si>
    <t>Pugh</t>
  </si>
  <si>
    <t>Caitlin</t>
  </si>
  <si>
    <t>Sesay</t>
  </si>
  <si>
    <t>Alfred</t>
  </si>
  <si>
    <t>Skyers</t>
  </si>
  <si>
    <t>Rotimi</t>
  </si>
  <si>
    <t>Stewart-Richardson</t>
  </si>
  <si>
    <t>Iona</t>
  </si>
  <si>
    <t>Walton</t>
  </si>
  <si>
    <t>2832</t>
  </si>
  <si>
    <t>292</t>
  </si>
  <si>
    <t>1861</t>
  </si>
  <si>
    <t>2721</t>
  </si>
  <si>
    <t>283</t>
  </si>
  <si>
    <t>1667</t>
  </si>
  <si>
    <t>1516</t>
  </si>
  <si>
    <t>298</t>
  </si>
  <si>
    <t>229</t>
  </si>
  <si>
    <t>171</t>
  </si>
  <si>
    <t>2724</t>
  </si>
  <si>
    <t>188</t>
  </si>
  <si>
    <t>267</t>
  </si>
  <si>
    <t>Adkin</t>
  </si>
  <si>
    <t>Thomas</t>
  </si>
  <si>
    <t>Cashin</t>
  </si>
  <si>
    <t>Diana</t>
  </si>
  <si>
    <t>Crozier</t>
  </si>
  <si>
    <t>Jonathan</t>
  </si>
  <si>
    <t>Daniels-Roberts</t>
  </si>
  <si>
    <t>Jessica</t>
  </si>
  <si>
    <t>Edwards</t>
  </si>
  <si>
    <t>Briony</t>
  </si>
  <si>
    <t>Irshad</t>
  </si>
  <si>
    <t>Rashid</t>
  </si>
  <si>
    <t>Jablkowska</t>
  </si>
  <si>
    <t>Miki</t>
  </si>
  <si>
    <t>Matejka</t>
  </si>
  <si>
    <t>Oliver</t>
  </si>
  <si>
    <t>Labour</t>
  </si>
  <si>
    <t>Matthews</t>
  </si>
  <si>
    <t>Josh</t>
  </si>
  <si>
    <t>Newman</t>
  </si>
  <si>
    <t>Adam</t>
  </si>
  <si>
    <t>Richardson</t>
  </si>
  <si>
    <t>Samuel</t>
  </si>
  <si>
    <t>Stamirowski</t>
  </si>
  <si>
    <t>Eva</t>
  </si>
  <si>
    <t>Stell</t>
  </si>
  <si>
    <t>Ian</t>
  </si>
  <si>
    <t>Williams</t>
  </si>
  <si>
    <t>Rob</t>
  </si>
  <si>
    <t>1580</t>
  </si>
  <si>
    <t>1529</t>
  </si>
  <si>
    <t>1524</t>
  </si>
  <si>
    <t>1295</t>
  </si>
  <si>
    <t>1233</t>
  </si>
  <si>
    <t>1077</t>
  </si>
  <si>
    <t>944</t>
  </si>
  <si>
    <t>Kate</t>
  </si>
  <si>
    <t>921</t>
  </si>
  <si>
    <t>457</t>
  </si>
  <si>
    <t>447</t>
  </si>
  <si>
    <t>397</t>
  </si>
  <si>
    <t>342</t>
  </si>
  <si>
    <t>Alleyne</t>
  </si>
  <si>
    <t>Harcourt</t>
  </si>
  <si>
    <t>Barrett</t>
  </si>
  <si>
    <t>Craig</t>
  </si>
  <si>
    <t>Baum</t>
  </si>
  <si>
    <t>Cheryl</t>
  </si>
  <si>
    <t>Bywater</t>
  </si>
  <si>
    <t>Robert</t>
  </si>
  <si>
    <t>Alex</t>
  </si>
  <si>
    <t>Cockram</t>
  </si>
  <si>
    <t>Ralph</t>
  </si>
  <si>
    <t>Elliott</t>
  </si>
  <si>
    <t>Gibbons</t>
  </si>
  <si>
    <t>Anita</t>
  </si>
  <si>
    <t>Locke</t>
  </si>
  <si>
    <t>Stephen</t>
  </si>
  <si>
    <t>Purefoy</t>
  </si>
  <si>
    <t>Christian</t>
  </si>
  <si>
    <t>Regisford</t>
  </si>
  <si>
    <t>Aaron</t>
  </si>
  <si>
    <t>Shrivastava</t>
  </si>
  <si>
    <t>Liam</t>
  </si>
  <si>
    <t>Natalie</t>
  </si>
  <si>
    <t>3090</t>
  </si>
  <si>
    <t>2991</t>
  </si>
  <si>
    <t>2907</t>
  </si>
  <si>
    <t>231</t>
  </si>
  <si>
    <t>1809</t>
  </si>
  <si>
    <t>1804</t>
  </si>
  <si>
    <t>1709</t>
  </si>
  <si>
    <t>379</t>
  </si>
  <si>
    <t>325</t>
  </si>
  <si>
    <t>300</t>
  </si>
  <si>
    <t>268</t>
  </si>
  <si>
    <t>252</t>
  </si>
  <si>
    <t>Atkinson</t>
  </si>
  <si>
    <t>Dawn</t>
  </si>
  <si>
    <t>Labour and Co-operative</t>
  </si>
  <si>
    <t>Crabb</t>
  </si>
  <si>
    <t>Abraham</t>
  </si>
  <si>
    <t>Dowling</t>
  </si>
  <si>
    <t>Farnworth</t>
  </si>
  <si>
    <t>Heather</t>
  </si>
  <si>
    <t>Hayes</t>
  </si>
  <si>
    <t>Jenkins</t>
  </si>
  <si>
    <t>Daniel</t>
  </si>
  <si>
    <t>Leslie</t>
  </si>
  <si>
    <t>Chloe</t>
  </si>
  <si>
    <t>Trade Union &amp; Socialist Coalition</t>
  </si>
  <si>
    <t>Marsden</t>
  </si>
  <si>
    <t>Edwin</t>
  </si>
  <si>
    <t>Martinez</t>
  </si>
  <si>
    <t>Maria</t>
  </si>
  <si>
    <t>Mark</t>
  </si>
  <si>
    <t>Parry</t>
  </si>
  <si>
    <t>Rosie</t>
  </si>
  <si>
    <t>Snelling</t>
  </si>
  <si>
    <t>Communist Party of Britain</t>
  </si>
  <si>
    <t>Tam</t>
  </si>
  <si>
    <t>Hau-Yu</t>
  </si>
  <si>
    <t>Walker</t>
  </si>
  <si>
    <t>David</t>
  </si>
  <si>
    <t>2313</t>
  </si>
  <si>
    <t>2184</t>
  </si>
  <si>
    <t>2082</t>
  </si>
  <si>
    <t>1554</t>
  </si>
  <si>
    <t>1293</t>
  </si>
  <si>
    <t>1069</t>
  </si>
  <si>
    <t>273</t>
  </si>
  <si>
    <t>265</t>
  </si>
  <si>
    <t>225</t>
  </si>
  <si>
    <t>223</t>
  </si>
  <si>
    <t>219</t>
  </si>
  <si>
    <t>185</t>
  </si>
  <si>
    <t>99</t>
  </si>
  <si>
    <t>98</t>
  </si>
  <si>
    <t>Asabere</t>
  </si>
  <si>
    <t>Kwame</t>
  </si>
  <si>
    <t>Bentinck</t>
  </si>
  <si>
    <t>Teresa</t>
  </si>
  <si>
    <t>Bourne</t>
  </si>
  <si>
    <t>Andre</t>
  </si>
  <si>
    <t>Davis</t>
  </si>
  <si>
    <t>Degen</t>
  </si>
  <si>
    <t>Heidi</t>
  </si>
  <si>
    <t>Lambert-Morris</t>
  </si>
  <si>
    <t>Gloria</t>
  </si>
  <si>
    <t>Lucia</t>
  </si>
  <si>
    <t>Daniele</t>
  </si>
  <si>
    <t>Macnaughton</t>
  </si>
  <si>
    <t>Vanessa</t>
  </si>
  <si>
    <t>May</t>
  </si>
  <si>
    <t>McMichael</t>
  </si>
  <si>
    <t>Paul</t>
  </si>
  <si>
    <t>Oana</t>
  </si>
  <si>
    <t>Roberts</t>
  </si>
  <si>
    <t>Peggy</t>
  </si>
  <si>
    <t>Stockbridge</t>
  </si>
  <si>
    <t>Jocelyn</t>
  </si>
  <si>
    <t>Tyler</t>
  </si>
  <si>
    <t>Olly</t>
  </si>
  <si>
    <t>1291</t>
  </si>
  <si>
    <t>1200</t>
  </si>
  <si>
    <t>1141</t>
  </si>
  <si>
    <t>Olaru-Holmes</t>
  </si>
  <si>
    <t>Dan</t>
  </si>
  <si>
    <t>990</t>
  </si>
  <si>
    <t>965</t>
  </si>
  <si>
    <t>894</t>
  </si>
  <si>
    <t>864</t>
  </si>
  <si>
    <t>831</t>
  </si>
  <si>
    <t>792</t>
  </si>
  <si>
    <t>388</t>
  </si>
  <si>
    <t>323</t>
  </si>
  <si>
    <t>302</t>
  </si>
  <si>
    <t>271</t>
  </si>
  <si>
    <t>234</t>
  </si>
  <si>
    <t>208</t>
  </si>
  <si>
    <t>Allenby</t>
  </si>
  <si>
    <t>Kim</t>
  </si>
  <si>
    <t>Cadman</t>
  </si>
  <si>
    <t>Malcolm</t>
  </si>
  <si>
    <t>Candan</t>
  </si>
  <si>
    <t>Leni</t>
  </si>
  <si>
    <t>Codd</t>
  </si>
  <si>
    <t>Pat</t>
  </si>
  <si>
    <t>Compson</t>
  </si>
  <si>
    <t>Henry</t>
  </si>
  <si>
    <t>Cooper</t>
  </si>
  <si>
    <t>Will</t>
  </si>
  <si>
    <t>Cooper-Stubbs</t>
  </si>
  <si>
    <t>Dylan</t>
  </si>
  <si>
    <t>Dias</t>
  </si>
  <si>
    <t>Samantha</t>
  </si>
  <si>
    <t>Hurst</t>
  </si>
  <si>
    <t>Janet</t>
  </si>
  <si>
    <t>Jiang</t>
  </si>
  <si>
    <t>Yan</t>
  </si>
  <si>
    <t>Nixon</t>
  </si>
  <si>
    <t>Robertson</t>
  </si>
  <si>
    <t>Russ</t>
  </si>
  <si>
    <t>Rumney</t>
  </si>
  <si>
    <t>Steven</t>
  </si>
  <si>
    <t>Trade Union and Socialist Coalition</t>
  </si>
  <si>
    <t>Schmidt</t>
  </si>
  <si>
    <t>Rudi</t>
  </si>
  <si>
    <t>Nobin</t>
  </si>
  <si>
    <t>Wills</t>
  </si>
  <si>
    <t>1509</t>
  </si>
  <si>
    <t>1472</t>
  </si>
  <si>
    <t>1378</t>
  </si>
  <si>
    <t>1216</t>
  </si>
  <si>
    <t>1098</t>
  </si>
  <si>
    <t>1097</t>
  </si>
  <si>
    <t>272</t>
  </si>
  <si>
    <t>248</t>
  </si>
  <si>
    <t>246</t>
  </si>
  <si>
    <t>218</t>
  </si>
  <si>
    <t>205</t>
  </si>
  <si>
    <t>196</t>
  </si>
  <si>
    <t>64</t>
  </si>
  <si>
    <t>29</t>
  </si>
  <si>
    <t>Bernards</t>
  </si>
  <si>
    <t>Flora</t>
  </si>
  <si>
    <t>Dickenson</t>
  </si>
  <si>
    <t>Wayne</t>
  </si>
  <si>
    <t>Hogben</t>
  </si>
  <si>
    <t>Hortense</t>
  </si>
  <si>
    <t>Katherine</t>
  </si>
  <si>
    <t>Christian People Alliance</t>
  </si>
  <si>
    <t>Navaratnam-Blair</t>
  </si>
  <si>
    <t>Fergus</t>
  </si>
  <si>
    <t>Obi</t>
  </si>
  <si>
    <t>Favour</t>
  </si>
  <si>
    <t>Paschoud</t>
  </si>
  <si>
    <t>Jacq</t>
  </si>
  <si>
    <t>Ravinda</t>
  </si>
  <si>
    <t>Viji</t>
  </si>
  <si>
    <t>Annabelle</t>
  </si>
  <si>
    <t>Russell</t>
  </si>
  <si>
    <t>Sadanandan Vijyam</t>
  </si>
  <si>
    <t>Savith</t>
  </si>
  <si>
    <t>Scanlon</t>
  </si>
  <si>
    <t>Brian</t>
  </si>
  <si>
    <t>Sharpe</t>
  </si>
  <si>
    <t>Fergal</t>
  </si>
  <si>
    <t>2762</t>
  </si>
  <si>
    <t>2740</t>
  </si>
  <si>
    <t>2001</t>
  </si>
  <si>
    <t>1819</t>
  </si>
  <si>
    <t>1729</t>
  </si>
  <si>
    <t>545</t>
  </si>
  <si>
    <t>426</t>
  </si>
  <si>
    <t>399</t>
  </si>
  <si>
    <t xml:space="preserve">Coleman </t>
  </si>
  <si>
    <t>374</t>
  </si>
  <si>
    <t>2174</t>
  </si>
  <si>
    <t>354</t>
  </si>
  <si>
    <t>349</t>
  </si>
  <si>
    <t>215</t>
  </si>
  <si>
    <t>103</t>
  </si>
  <si>
    <t>Raymond</t>
  </si>
  <si>
    <t>Clarke</t>
  </si>
  <si>
    <t>Susannah</t>
  </si>
  <si>
    <t xml:space="preserve">Labour &amp; Co-operative </t>
  </si>
  <si>
    <t>Cliff</t>
  </si>
  <si>
    <t>Friar</t>
  </si>
  <si>
    <t>Gower</t>
  </si>
  <si>
    <t>Hollingsworth</t>
  </si>
  <si>
    <t>Cormac</t>
  </si>
  <si>
    <t>Jackson</t>
  </si>
  <si>
    <t>Kentley</t>
  </si>
  <si>
    <t>Eric</t>
  </si>
  <si>
    <t>Labrom</t>
  </si>
  <si>
    <t>Joan</t>
  </si>
  <si>
    <t>Lesyk</t>
  </si>
  <si>
    <t>Sergiy</t>
  </si>
  <si>
    <t>Hilary</t>
  </si>
  <si>
    <t>Plumb</t>
  </si>
  <si>
    <t>Sydial</t>
  </si>
  <si>
    <t>Sylbourne</t>
  </si>
  <si>
    <t>Young</t>
  </si>
  <si>
    <t>Rory</t>
  </si>
  <si>
    <t>1555</t>
  </si>
  <si>
    <t>1254</t>
  </si>
  <si>
    <t>1155</t>
  </si>
  <si>
    <t>Aiello</t>
  </si>
  <si>
    <t>Eleonora</t>
  </si>
  <si>
    <t>Anifowose</t>
  </si>
  <si>
    <t>Yemisi</t>
  </si>
  <si>
    <t>Bass</t>
  </si>
  <si>
    <t>Charles</t>
  </si>
  <si>
    <t>Broderick</t>
  </si>
  <si>
    <t>Dejean</t>
  </si>
  <si>
    <t>Hawkins</t>
  </si>
  <si>
    <t>Julian</t>
  </si>
  <si>
    <t>Hovingham</t>
  </si>
  <si>
    <t>Ingleby</t>
  </si>
  <si>
    <t>Elizabeth</t>
  </si>
  <si>
    <t>McLurg</t>
  </si>
  <si>
    <t>Fern</t>
  </si>
  <si>
    <t>Mighton</t>
  </si>
  <si>
    <t>Roger</t>
  </si>
  <si>
    <t>Miller</t>
  </si>
  <si>
    <t>Climate Party</t>
  </si>
  <si>
    <t>Millett</t>
  </si>
  <si>
    <t>Terry</t>
  </si>
  <si>
    <t>Milton</t>
  </si>
  <si>
    <t>Andrew</t>
  </si>
  <si>
    <t>Powell</t>
  </si>
  <si>
    <t>Stevens</t>
  </si>
  <si>
    <t>Andy</t>
  </si>
  <si>
    <t>Keene</t>
  </si>
  <si>
    <t>Weir</t>
  </si>
  <si>
    <t>Nadia</t>
  </si>
  <si>
    <t>2105</t>
  </si>
  <si>
    <t>1994</t>
  </si>
  <si>
    <t>1909</t>
  </si>
  <si>
    <t>1906</t>
  </si>
  <si>
    <t>1837</t>
  </si>
  <si>
    <t>1814</t>
  </si>
  <si>
    <t>464</t>
  </si>
  <si>
    <t>427</t>
  </si>
  <si>
    <t>407</t>
  </si>
  <si>
    <t>367</t>
  </si>
  <si>
    <t>336</t>
  </si>
  <si>
    <t>316</t>
  </si>
  <si>
    <t>304</t>
  </si>
  <si>
    <t>285</t>
  </si>
  <si>
    <t>104</t>
  </si>
  <si>
    <t>114</t>
  </si>
  <si>
    <t>214</t>
  </si>
  <si>
    <t>41</t>
  </si>
  <si>
    <t>Asaw</t>
  </si>
  <si>
    <t>Shireen</t>
  </si>
  <si>
    <t>Hunter</t>
  </si>
  <si>
    <t>Collett</t>
  </si>
  <si>
    <t>Kelly</t>
  </si>
  <si>
    <t>Nick</t>
  </si>
  <si>
    <t>Lahai-Taylor</t>
  </si>
  <si>
    <t>Ayesha</t>
  </si>
  <si>
    <t>Lloyd</t>
  </si>
  <si>
    <t>Tony</t>
  </si>
  <si>
    <t>Mascall</t>
  </si>
  <si>
    <t>McGhee</t>
  </si>
  <si>
    <t>Robin</t>
  </si>
  <si>
    <t>McIlwraith</t>
  </si>
  <si>
    <t>Pellicano</t>
  </si>
  <si>
    <t>Noel</t>
  </si>
  <si>
    <t>Statham</t>
  </si>
  <si>
    <t>Wendy</t>
  </si>
  <si>
    <t>Sutton</t>
  </si>
  <si>
    <t>Ed</t>
  </si>
  <si>
    <t>Wajero</t>
  </si>
  <si>
    <t>Bunmi</t>
  </si>
  <si>
    <t>Gregory</t>
  </si>
  <si>
    <t>2860</t>
  </si>
  <si>
    <t>2790</t>
  </si>
  <si>
    <t>2752</t>
  </si>
  <si>
    <t>1700</t>
  </si>
  <si>
    <t>1639</t>
  </si>
  <si>
    <t>258</t>
  </si>
  <si>
    <t>245</t>
  </si>
  <si>
    <t>244</t>
  </si>
  <si>
    <t>235</t>
  </si>
  <si>
    <t>211</t>
  </si>
  <si>
    <t>186</t>
  </si>
  <si>
    <t>Cornelius</t>
  </si>
  <si>
    <t>Erheriene</t>
  </si>
  <si>
    <t>Ese</t>
  </si>
  <si>
    <t>Foulkes</t>
  </si>
  <si>
    <t>Fox</t>
  </si>
  <si>
    <t>Lizzie</t>
  </si>
  <si>
    <t>Ganser</t>
  </si>
  <si>
    <t>Felix</t>
  </si>
  <si>
    <t>Goggins</t>
  </si>
  <si>
    <t>Laffan</t>
  </si>
  <si>
    <t>Jack</t>
  </si>
  <si>
    <t>Lucas Mitte</t>
  </si>
  <si>
    <t>Rathbone</t>
  </si>
  <si>
    <t>Sessions</t>
  </si>
  <si>
    <t>Laura</t>
  </si>
  <si>
    <t>Taylor</t>
  </si>
  <si>
    <t>Ronnie</t>
  </si>
  <si>
    <t>Thurgood</t>
  </si>
  <si>
    <t xml:space="preserve">Sam </t>
  </si>
  <si>
    <t>1762</t>
  </si>
  <si>
    <t>1696</t>
  </si>
  <si>
    <t>1685</t>
  </si>
  <si>
    <t>1642</t>
  </si>
  <si>
    <t>1484</t>
  </si>
  <si>
    <t>1471</t>
  </si>
  <si>
    <t>1021</t>
  </si>
  <si>
    <t>856</t>
  </si>
  <si>
    <t>Boscic</t>
  </si>
  <si>
    <t>417</t>
  </si>
  <si>
    <t>404</t>
  </si>
  <si>
    <t>394</t>
  </si>
  <si>
    <t>330</t>
  </si>
  <si>
    <t>324</t>
  </si>
  <si>
    <t>Aden</t>
  </si>
  <si>
    <t>Hibaaq</t>
  </si>
  <si>
    <t>Ansell</t>
  </si>
  <si>
    <t>Your Party</t>
  </si>
  <si>
    <t>Bradshaw</t>
  </si>
  <si>
    <t>Ethan</t>
  </si>
  <si>
    <t>Burnell</t>
  </si>
  <si>
    <t>Tim</t>
  </si>
  <si>
    <t>Gollicker</t>
  </si>
  <si>
    <t>Abigail</t>
  </si>
  <si>
    <t>Huynh</t>
  </si>
  <si>
    <t>Edison</t>
  </si>
  <si>
    <t>Kowalski</t>
  </si>
  <si>
    <t>Leachman</t>
  </si>
  <si>
    <t>Junior</t>
  </si>
  <si>
    <t>Passande</t>
  </si>
  <si>
    <t>Sheikh</t>
  </si>
  <si>
    <t>Aliya</t>
  </si>
  <si>
    <t>St Marthe</t>
  </si>
  <si>
    <t>928</t>
  </si>
  <si>
    <t>848</t>
  </si>
  <si>
    <t>812</t>
  </si>
  <si>
    <t>663</t>
  </si>
  <si>
    <t>173</t>
  </si>
  <si>
    <t>142</t>
  </si>
  <si>
    <t>126</t>
  </si>
  <si>
    <t>93</t>
  </si>
  <si>
    <t>45</t>
  </si>
  <si>
    <t>65</t>
  </si>
  <si>
    <t>Caramedon</t>
  </si>
  <si>
    <t>Gary</t>
  </si>
  <si>
    <t>Coward</t>
  </si>
  <si>
    <t>Trade Unionist and Socialist Coalition</t>
  </si>
  <si>
    <t>Dempsey</t>
  </si>
  <si>
    <t>Gil</t>
  </si>
  <si>
    <t>Wellington</t>
  </si>
  <si>
    <t>Lewitt</t>
  </si>
  <si>
    <t>Perkins</t>
  </si>
  <si>
    <t>Jo</t>
  </si>
  <si>
    <t>Persian</t>
  </si>
  <si>
    <t>Ruth</t>
  </si>
  <si>
    <t>Peters</t>
  </si>
  <si>
    <t>1188</t>
  </si>
  <si>
    <t>1123</t>
  </si>
  <si>
    <t>877</t>
  </si>
  <si>
    <t>Jamie</t>
  </si>
  <si>
    <t>722</t>
  </si>
  <si>
    <t>136</t>
  </si>
  <si>
    <t>111</t>
  </si>
  <si>
    <t>101</t>
  </si>
  <si>
    <t>90</t>
  </si>
  <si>
    <t>73</t>
  </si>
  <si>
    <t>Bristow</t>
  </si>
  <si>
    <t>Penelope</t>
  </si>
  <si>
    <t>Bower</t>
  </si>
  <si>
    <t>Alan</t>
  </si>
  <si>
    <t>Calcutt Cheadle</t>
  </si>
  <si>
    <t>Justin</t>
  </si>
  <si>
    <t>Campbell-Burt</t>
  </si>
  <si>
    <t>Feakes</t>
  </si>
  <si>
    <t>Gill</t>
  </si>
  <si>
    <t>McKenna</t>
  </si>
  <si>
    <t>Muhammed</t>
  </si>
  <si>
    <t>Jonai</t>
  </si>
  <si>
    <t>Podmore</t>
  </si>
  <si>
    <t>Mike</t>
  </si>
  <si>
    <t>Sakina</t>
  </si>
  <si>
    <t>Skeen</t>
  </si>
  <si>
    <t>Bttina</t>
  </si>
  <si>
    <t>Squires</t>
  </si>
  <si>
    <t>Wise</t>
  </si>
  <si>
    <t>Susan</t>
  </si>
  <si>
    <t>Alexandra</t>
  </si>
  <si>
    <t>2880</t>
  </si>
  <si>
    <t>2785</t>
  </si>
  <si>
    <t>2621</t>
  </si>
  <si>
    <t>1997</t>
  </si>
  <si>
    <t>1973</t>
  </si>
  <si>
    <t>1969</t>
  </si>
  <si>
    <t>471</t>
  </si>
  <si>
    <t>479</t>
  </si>
  <si>
    <t>467</t>
  </si>
  <si>
    <t>433</t>
  </si>
  <si>
    <t>296</t>
  </si>
  <si>
    <t>291</t>
  </si>
  <si>
    <t>2171</t>
  </si>
  <si>
    <t>278</t>
  </si>
  <si>
    <t>122</t>
  </si>
  <si>
    <t>Judith</t>
  </si>
  <si>
    <t>Carter</t>
  </si>
  <si>
    <t>Callum</t>
  </si>
  <si>
    <t>Dream</t>
  </si>
  <si>
    <t>Gardiner</t>
  </si>
  <si>
    <t>Harmer</t>
  </si>
  <si>
    <t>Joseph</t>
  </si>
  <si>
    <t>Hartnell</t>
  </si>
  <si>
    <t>Clare</t>
  </si>
  <si>
    <t>Linda</t>
  </si>
  <si>
    <t>Lilley</t>
  </si>
  <si>
    <t>Kevin</t>
  </si>
  <si>
    <t>Marshall</t>
  </si>
  <si>
    <t>Muldoon</t>
  </si>
  <si>
    <t>Newell</t>
  </si>
  <si>
    <t>Shooter</t>
  </si>
  <si>
    <t>Huw</t>
  </si>
  <si>
    <t>Walsh</t>
  </si>
  <si>
    <t>James-J</t>
  </si>
  <si>
    <t>Claire</t>
  </si>
  <si>
    <t>2436</t>
  </si>
  <si>
    <t>2400</t>
  </si>
  <si>
    <t>2245</t>
  </si>
  <si>
    <t>1842</t>
  </si>
  <si>
    <t>1602</t>
  </si>
  <si>
    <t>1420</t>
  </si>
  <si>
    <t>343</t>
  </si>
  <si>
    <t>259</t>
  </si>
  <si>
    <t>237</t>
  </si>
  <si>
    <t>228</t>
  </si>
  <si>
    <t>163</t>
  </si>
  <si>
    <t>160</t>
  </si>
  <si>
    <t>Ashwell</t>
  </si>
  <si>
    <t>Corin</t>
  </si>
  <si>
    <t>Bachmann</t>
  </si>
  <si>
    <t>Best</t>
  </si>
  <si>
    <t>Combstock</t>
  </si>
  <si>
    <t>Quaid</t>
  </si>
  <si>
    <t>Curran</t>
  </si>
  <si>
    <t>Dunne</t>
  </si>
  <si>
    <t>Tanya</t>
  </si>
  <si>
    <t>Henderson</t>
  </si>
  <si>
    <t>Aimee</t>
  </si>
  <si>
    <t>Lavery</t>
  </si>
  <si>
    <t>Michelucci</t>
  </si>
  <si>
    <t>Markus</t>
  </si>
  <si>
    <t>Pardo</t>
  </si>
  <si>
    <t>Armando</t>
  </si>
  <si>
    <t>Quist</t>
  </si>
  <si>
    <t>Dela</t>
  </si>
  <si>
    <t>Timothy</t>
  </si>
  <si>
    <t>Wilson</t>
  </si>
  <si>
    <t>Margot</t>
  </si>
  <si>
    <t>1962</t>
  </si>
  <si>
    <t>1834</t>
  </si>
  <si>
    <t>1677</t>
  </si>
  <si>
    <t>1652</t>
  </si>
  <si>
    <t>515</t>
  </si>
  <si>
    <t>389</t>
  </si>
  <si>
    <t>372</t>
  </si>
  <si>
    <t>348</t>
  </si>
  <si>
    <t>346</t>
  </si>
  <si>
    <t>279</t>
  </si>
  <si>
    <t>Almqvist</t>
  </si>
  <si>
    <t>Brendan</t>
  </si>
  <si>
    <t>Ulric</t>
  </si>
  <si>
    <t>Anderson</t>
  </si>
  <si>
    <t>Beadle</t>
  </si>
  <si>
    <t>Bell</t>
  </si>
  <si>
    <t>Bennett</t>
  </si>
  <si>
    <t>Msrk</t>
  </si>
  <si>
    <t>Nichola</t>
  </si>
  <si>
    <t>Sackey</t>
  </si>
  <si>
    <t>Isaac</t>
  </si>
  <si>
    <t>Sanders</t>
  </si>
  <si>
    <t>Becky</t>
  </si>
  <si>
    <t>Seabright</t>
  </si>
  <si>
    <t>Sorba</t>
  </si>
  <si>
    <t>Stearns</t>
  </si>
  <si>
    <t>Torry</t>
  </si>
  <si>
    <t>Turley</t>
  </si>
  <si>
    <t>Wren</t>
  </si>
  <si>
    <t>3050</t>
  </si>
  <si>
    <t>2877</t>
  </si>
  <si>
    <t>2693</t>
  </si>
  <si>
    <t>1980</t>
  </si>
  <si>
    <t>1752</t>
  </si>
  <si>
    <t>232</t>
  </si>
  <si>
    <t>230</t>
  </si>
  <si>
    <t>210</t>
  </si>
  <si>
    <t>203</t>
  </si>
  <si>
    <t>167</t>
  </si>
  <si>
    <t>138</t>
  </si>
  <si>
    <t>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</si>
</sst>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9" fontId="1" fillId="2" borderId="9" xfId="1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114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zoomScaleNormal="100" workbookViewId="0">
      <selection activeCell="G17" sqref="G17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23.54296875" bestFit="1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47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7568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2313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426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1887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0.3056289640591966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12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72</v>
      </c>
      <c r="C20" s="13" t="s">
        <v>73</v>
      </c>
      <c r="D20" s="13"/>
      <c r="E20" s="14" t="s">
        <v>74</v>
      </c>
      <c r="F20" s="14" t="s">
        <v>105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75</v>
      </c>
      <c r="C21" s="16" t="s">
        <v>76</v>
      </c>
      <c r="D21" s="16"/>
      <c r="E21" s="17" t="s">
        <v>77</v>
      </c>
      <c r="F21" s="17" t="s">
        <v>107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78</v>
      </c>
      <c r="C22" s="16" t="s">
        <v>79</v>
      </c>
      <c r="D22" s="16"/>
      <c r="E22" s="17" t="s">
        <v>74</v>
      </c>
      <c r="F22" s="17" t="s">
        <v>104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80</v>
      </c>
      <c r="C23" s="16" t="s">
        <v>81</v>
      </c>
      <c r="D23" s="16"/>
      <c r="E23" s="17" t="s">
        <v>82</v>
      </c>
      <c r="F23" s="17" t="s">
        <v>108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68</v>
      </c>
      <c r="C24" s="16" t="s">
        <v>83</v>
      </c>
      <c r="D24" s="16"/>
      <c r="E24" s="17" t="s">
        <v>84</v>
      </c>
      <c r="F24" s="17" t="s">
        <v>70</v>
      </c>
      <c r="G24" s="17" t="s">
        <v>109</v>
      </c>
      <c r="H24" s="9" t="s">
        <v>28</v>
      </c>
      <c r="I24" s="1"/>
    </row>
    <row r="25" spans="1:9" ht="14" x14ac:dyDescent="0.3">
      <c r="A25" s="6">
        <v>6</v>
      </c>
      <c r="B25" s="15" t="s">
        <v>85</v>
      </c>
      <c r="C25" s="16" t="s">
        <v>86</v>
      </c>
      <c r="D25" s="16"/>
      <c r="E25" s="17" t="s">
        <v>90</v>
      </c>
      <c r="F25" s="17" t="s">
        <v>103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87</v>
      </c>
      <c r="C26" s="16" t="s">
        <v>88</v>
      </c>
      <c r="D26" s="16"/>
      <c r="E26" s="17" t="s">
        <v>89</v>
      </c>
      <c r="F26" s="17" t="s">
        <v>106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71</v>
      </c>
      <c r="C27" s="16" t="s">
        <v>91</v>
      </c>
      <c r="D27" s="16"/>
      <c r="E27" s="17" t="s">
        <v>92</v>
      </c>
      <c r="F27" s="17" t="s">
        <v>99</v>
      </c>
      <c r="G27" s="17" t="s">
        <v>109</v>
      </c>
      <c r="H27" s="9" t="s">
        <v>31</v>
      </c>
      <c r="I27" s="1"/>
    </row>
    <row r="28" spans="1:9" ht="14" x14ac:dyDescent="0.3">
      <c r="A28" s="6">
        <v>9</v>
      </c>
      <c r="B28" s="15" t="s">
        <v>93</v>
      </c>
      <c r="C28" s="16" t="s">
        <v>94</v>
      </c>
      <c r="D28" s="16"/>
      <c r="E28" s="17" t="s">
        <v>90</v>
      </c>
      <c r="F28" s="17" t="s">
        <v>102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95</v>
      </c>
      <c r="C29" s="16" t="s">
        <v>96</v>
      </c>
      <c r="D29" s="16"/>
      <c r="E29" s="17" t="s">
        <v>84</v>
      </c>
      <c r="F29" s="17" t="s">
        <v>100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97</v>
      </c>
      <c r="C30" s="16" t="s">
        <v>98</v>
      </c>
      <c r="D30" s="16"/>
      <c r="E30" s="17" t="s">
        <v>92</v>
      </c>
      <c r="F30" s="17" t="s">
        <v>101</v>
      </c>
      <c r="G30" s="17"/>
      <c r="H30" s="9" t="s">
        <v>34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13" priority="7" stopIfTrue="1">
      <formula>MOD(ROW(),2)=0</formula>
    </cfRule>
    <cfRule type="expression" dxfId="112" priority="8" stopIfTrue="1">
      <formula>MOD(ROW(),2)=1</formula>
    </cfRule>
  </conditionalFormatting>
  <conditionalFormatting sqref="C20">
    <cfRule type="expression" dxfId="111" priority="5" stopIfTrue="1">
      <formula>MOD(ROW(),2)=0</formula>
    </cfRule>
    <cfRule type="expression" dxfId="110" priority="6" stopIfTrue="1">
      <formula>MOD(ROW(),2)=1</formula>
    </cfRule>
  </conditionalFormatting>
  <conditionalFormatting sqref="F20:G40">
    <cfRule type="expression" dxfId="109" priority="1" stopIfTrue="1">
      <formula>MOD(ROW(),2)=0</formula>
    </cfRule>
    <cfRule type="expression" dxfId="10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zoomScaleNormal="100" workbookViewId="0">
      <selection activeCell="G18" sqref="G18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21.08984375" bestFit="1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49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11831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5395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4142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1253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0.45600540951736962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15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15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110</v>
      </c>
      <c r="C20" s="13" t="s">
        <v>111</v>
      </c>
      <c r="D20" s="13"/>
      <c r="E20" s="14" t="s">
        <v>90</v>
      </c>
      <c r="F20" s="14" t="s">
        <v>148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112</v>
      </c>
      <c r="C21" s="16" t="s">
        <v>113</v>
      </c>
      <c r="D21" s="16"/>
      <c r="E21" s="17" t="s">
        <v>89</v>
      </c>
      <c r="F21" s="17" t="s">
        <v>145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114</v>
      </c>
      <c r="C22" s="16" t="s">
        <v>115</v>
      </c>
      <c r="D22" s="16"/>
      <c r="E22" s="17" t="s">
        <v>90</v>
      </c>
      <c r="F22" s="17" t="s">
        <v>148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152</v>
      </c>
      <c r="C23" s="16" t="s">
        <v>116</v>
      </c>
      <c r="D23" s="16"/>
      <c r="E23" s="17" t="s">
        <v>69</v>
      </c>
      <c r="F23" s="17" t="s">
        <v>140</v>
      </c>
      <c r="G23" s="17" t="s">
        <v>109</v>
      </c>
      <c r="H23" s="9" t="s">
        <v>27</v>
      </c>
      <c r="I23" s="1"/>
    </row>
    <row r="24" spans="1:9" ht="14" x14ac:dyDescent="0.3">
      <c r="A24" s="6">
        <v>5</v>
      </c>
      <c r="B24" s="15" t="s">
        <v>117</v>
      </c>
      <c r="C24" s="16" t="s">
        <v>118</v>
      </c>
      <c r="D24" s="16"/>
      <c r="E24" s="17" t="s">
        <v>90</v>
      </c>
      <c r="F24" s="17" t="s">
        <v>149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119</v>
      </c>
      <c r="C25" s="16" t="s">
        <v>120</v>
      </c>
      <c r="D25" s="16"/>
      <c r="E25" s="17" t="s">
        <v>121</v>
      </c>
      <c r="F25" s="17" t="s">
        <v>102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122</v>
      </c>
      <c r="C26" s="16" t="s">
        <v>123</v>
      </c>
      <c r="D26" s="16"/>
      <c r="E26" s="17" t="s">
        <v>92</v>
      </c>
      <c r="F26" s="17" t="s">
        <v>139</v>
      </c>
      <c r="G26" s="17" t="s">
        <v>109</v>
      </c>
      <c r="H26" s="9" t="s">
        <v>30</v>
      </c>
      <c r="I26" s="1"/>
    </row>
    <row r="27" spans="1:9" ht="14" x14ac:dyDescent="0.3">
      <c r="A27" s="6">
        <v>8</v>
      </c>
      <c r="B27" s="15" t="s">
        <v>124</v>
      </c>
      <c r="C27" s="16" t="s">
        <v>120</v>
      </c>
      <c r="D27" s="16"/>
      <c r="E27" s="17" t="s">
        <v>89</v>
      </c>
      <c r="F27" s="17" t="s">
        <v>143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125</v>
      </c>
      <c r="C28" s="16" t="s">
        <v>126</v>
      </c>
      <c r="D28" s="16"/>
      <c r="E28" s="17" t="s">
        <v>92</v>
      </c>
      <c r="F28" s="17" t="s">
        <v>141</v>
      </c>
      <c r="G28" s="17" t="s">
        <v>109</v>
      </c>
      <c r="H28" s="9" t="s">
        <v>32</v>
      </c>
      <c r="I28" s="1"/>
    </row>
    <row r="29" spans="1:9" ht="14" x14ac:dyDescent="0.3">
      <c r="A29" s="6">
        <v>10</v>
      </c>
      <c r="B29" s="15" t="s">
        <v>127</v>
      </c>
      <c r="C29" s="16" t="s">
        <v>128</v>
      </c>
      <c r="D29" s="16"/>
      <c r="E29" s="17" t="s">
        <v>69</v>
      </c>
      <c r="F29" s="17" t="s">
        <v>146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129</v>
      </c>
      <c r="C30" s="16" t="s">
        <v>130</v>
      </c>
      <c r="D30" s="16"/>
      <c r="E30" s="17" t="s">
        <v>89</v>
      </c>
      <c r="F30" s="17" t="s">
        <v>147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131</v>
      </c>
      <c r="C31" s="16" t="s">
        <v>132</v>
      </c>
      <c r="D31" s="16"/>
      <c r="E31" s="17" t="s">
        <v>92</v>
      </c>
      <c r="F31" s="17" t="s">
        <v>142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134</v>
      </c>
      <c r="C32" s="16" t="s">
        <v>133</v>
      </c>
      <c r="D32" s="16"/>
      <c r="E32" s="17" t="s">
        <v>121</v>
      </c>
      <c r="F32" s="17" t="s">
        <v>150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135</v>
      </c>
      <c r="C33" s="16" t="s">
        <v>136</v>
      </c>
      <c r="D33" s="16"/>
      <c r="E33" s="17" t="s">
        <v>69</v>
      </c>
      <c r="F33" s="17" t="s">
        <v>144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137</v>
      </c>
      <c r="C34" s="16" t="s">
        <v>138</v>
      </c>
      <c r="D34" s="16"/>
      <c r="E34" s="17" t="s">
        <v>121</v>
      </c>
      <c r="F34" s="17" t="s">
        <v>151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07" priority="7" stopIfTrue="1">
      <formula>MOD(ROW(),2)=0</formula>
    </cfRule>
    <cfRule type="expression" dxfId="106" priority="8" stopIfTrue="1">
      <formula>MOD(ROW(),2)=1</formula>
    </cfRule>
  </conditionalFormatting>
  <conditionalFormatting sqref="C20">
    <cfRule type="expression" dxfId="105" priority="5" stopIfTrue="1">
      <formula>MOD(ROW(),2)=0</formula>
    </cfRule>
    <cfRule type="expression" dxfId="104" priority="6" stopIfTrue="1">
      <formula>MOD(ROW(),2)=1</formula>
    </cfRule>
  </conditionalFormatting>
  <conditionalFormatting sqref="F20:G40">
    <cfRule type="expression" dxfId="103" priority="1" stopIfTrue="1">
      <formula>MOD(ROW(),2)=0</formula>
    </cfRule>
    <cfRule type="expression" dxfId="10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G17" sqref="G17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23.54296875" bestFit="1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51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12403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5395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4504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891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0.43497540917519956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13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153</v>
      </c>
      <c r="C20" s="13" t="s">
        <v>154</v>
      </c>
      <c r="D20" s="13"/>
      <c r="E20" s="14" t="s">
        <v>92</v>
      </c>
      <c r="F20" s="14" t="s">
        <v>178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155</v>
      </c>
      <c r="C21" s="16" t="s">
        <v>156</v>
      </c>
      <c r="D21" s="16"/>
      <c r="E21" s="17" t="s">
        <v>90</v>
      </c>
      <c r="F21" s="17" t="s">
        <v>179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157</v>
      </c>
      <c r="C22" s="16" t="s">
        <v>158</v>
      </c>
      <c r="D22" s="16"/>
      <c r="E22" s="17" t="s">
        <v>84</v>
      </c>
      <c r="F22" s="17" t="s">
        <v>180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159</v>
      </c>
      <c r="C23" s="16" t="s">
        <v>160</v>
      </c>
      <c r="D23" s="16"/>
      <c r="E23" s="17" t="s">
        <v>92</v>
      </c>
      <c r="F23" s="17" t="s">
        <v>181</v>
      </c>
      <c r="G23" s="17" t="s">
        <v>109</v>
      </c>
      <c r="H23" s="9" t="s">
        <v>27</v>
      </c>
      <c r="I23" s="1"/>
    </row>
    <row r="24" spans="1:9" ht="14" x14ac:dyDescent="0.3">
      <c r="A24" s="6">
        <v>5</v>
      </c>
      <c r="B24" s="15" t="s">
        <v>161</v>
      </c>
      <c r="C24" s="16" t="s">
        <v>162</v>
      </c>
      <c r="D24" s="16"/>
      <c r="E24" s="17" t="s">
        <v>89</v>
      </c>
      <c r="F24" s="17" t="s">
        <v>182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163</v>
      </c>
      <c r="C25" s="16" t="s">
        <v>164</v>
      </c>
      <c r="D25" s="16"/>
      <c r="E25" s="17" t="s">
        <v>84</v>
      </c>
      <c r="F25" s="17" t="s">
        <v>183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165</v>
      </c>
      <c r="C26" s="16" t="s">
        <v>166</v>
      </c>
      <c r="D26" s="16"/>
      <c r="E26" s="17" t="s">
        <v>84</v>
      </c>
      <c r="F26" s="17" t="s">
        <v>184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167</v>
      </c>
      <c r="C27" s="16" t="s">
        <v>168</v>
      </c>
      <c r="D27" s="16"/>
      <c r="E27" s="17" t="s">
        <v>89</v>
      </c>
      <c r="F27" s="17" t="s">
        <v>185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169</v>
      </c>
      <c r="C28" s="16" t="s">
        <v>170</v>
      </c>
      <c r="D28" s="16"/>
      <c r="E28" s="17" t="s">
        <v>121</v>
      </c>
      <c r="F28" s="17" t="s">
        <v>186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171</v>
      </c>
      <c r="C29" s="16" t="s">
        <v>172</v>
      </c>
      <c r="D29" s="16"/>
      <c r="E29" s="17" t="s">
        <v>121</v>
      </c>
      <c r="F29" s="17" t="s">
        <v>187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173</v>
      </c>
      <c r="C30" s="16" t="s">
        <v>174</v>
      </c>
      <c r="D30" s="16"/>
      <c r="E30" s="17" t="s">
        <v>92</v>
      </c>
      <c r="F30" s="17" t="s">
        <v>188</v>
      </c>
      <c r="G30" s="17" t="s">
        <v>109</v>
      </c>
      <c r="H30" s="9" t="s">
        <v>34</v>
      </c>
      <c r="I30" s="1"/>
    </row>
    <row r="31" spans="1:9" ht="14" x14ac:dyDescent="0.3">
      <c r="A31" s="6">
        <v>12</v>
      </c>
      <c r="B31" s="15" t="s">
        <v>175</v>
      </c>
      <c r="C31" s="16" t="s">
        <v>176</v>
      </c>
      <c r="D31" s="16"/>
      <c r="E31" s="17" t="s">
        <v>121</v>
      </c>
      <c r="F31" s="17" t="s">
        <v>189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177</v>
      </c>
      <c r="C32" s="16" t="s">
        <v>132</v>
      </c>
      <c r="D32" s="16"/>
      <c r="E32" s="17" t="s">
        <v>89</v>
      </c>
      <c r="F32" s="17" t="s">
        <v>190</v>
      </c>
      <c r="G32" s="17"/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01" priority="7" stopIfTrue="1">
      <formula>MOD(ROW(),2)=0</formula>
    </cfRule>
    <cfRule type="expression" dxfId="100" priority="8" stopIfTrue="1">
      <formula>MOD(ROW(),2)=1</formula>
    </cfRule>
  </conditionalFormatting>
  <conditionalFormatting sqref="C20">
    <cfRule type="expression" dxfId="99" priority="5" stopIfTrue="1">
      <formula>MOD(ROW(),2)=0</formula>
    </cfRule>
    <cfRule type="expression" dxfId="98" priority="6" stopIfTrue="1">
      <formula>MOD(ROW(),2)=1</formula>
    </cfRule>
  </conditionalFormatting>
  <conditionalFormatting sqref="F20:G40">
    <cfRule type="expression" dxfId="97" priority="1" stopIfTrue="1">
      <formula>MOD(ROW(),2)=0</formula>
    </cfRule>
    <cfRule type="expression" dxfId="9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topLeftCell="A20" zoomScaleNormal="100" workbookViewId="0">
      <selection activeCell="F34" sqref="F34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52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12011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4778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9779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999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0.39780201481974858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10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18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191</v>
      </c>
      <c r="C20" s="13" t="s">
        <v>192</v>
      </c>
      <c r="D20" s="13"/>
      <c r="E20" s="14" t="s">
        <v>121</v>
      </c>
      <c r="F20" s="14" t="s">
        <v>232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193</v>
      </c>
      <c r="C21" s="16" t="s">
        <v>194</v>
      </c>
      <c r="D21" s="16"/>
      <c r="E21" s="17" t="s">
        <v>89</v>
      </c>
      <c r="F21" s="17" t="s">
        <v>225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195</v>
      </c>
      <c r="C22" s="16" t="s">
        <v>196</v>
      </c>
      <c r="D22" s="16"/>
      <c r="E22" s="17" t="s">
        <v>90</v>
      </c>
      <c r="F22" s="17" t="s">
        <v>229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197</v>
      </c>
      <c r="C23" s="16" t="s">
        <v>198</v>
      </c>
      <c r="D23" s="16"/>
      <c r="E23" s="17" t="s">
        <v>121</v>
      </c>
      <c r="F23" s="17" t="s">
        <v>151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199</v>
      </c>
      <c r="C24" s="16" t="s">
        <v>200</v>
      </c>
      <c r="D24" s="16"/>
      <c r="E24" s="17" t="s">
        <v>92</v>
      </c>
      <c r="F24" s="17" t="s">
        <v>220</v>
      </c>
      <c r="G24" s="17" t="s">
        <v>109</v>
      </c>
      <c r="H24" s="9" t="s">
        <v>28</v>
      </c>
      <c r="I24" s="1"/>
    </row>
    <row r="25" spans="1:9" ht="14" x14ac:dyDescent="0.3">
      <c r="A25" s="6">
        <v>6</v>
      </c>
      <c r="B25" s="15" t="s">
        <v>201</v>
      </c>
      <c r="C25" s="16" t="s">
        <v>202</v>
      </c>
      <c r="D25" s="16"/>
      <c r="E25" s="17" t="s">
        <v>92</v>
      </c>
      <c r="F25" s="17" t="s">
        <v>223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203</v>
      </c>
      <c r="C26" s="16" t="s">
        <v>204</v>
      </c>
      <c r="D26" s="16"/>
      <c r="E26" s="17" t="s">
        <v>92</v>
      </c>
      <c r="F26" s="17" t="s">
        <v>224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205</v>
      </c>
      <c r="C27" s="16" t="s">
        <v>206</v>
      </c>
      <c r="D27" s="16"/>
      <c r="E27" s="17" t="s">
        <v>207</v>
      </c>
      <c r="F27" s="17" t="s">
        <v>222</v>
      </c>
      <c r="G27" s="17" t="s">
        <v>109</v>
      </c>
      <c r="H27" s="9" t="s">
        <v>31</v>
      </c>
      <c r="I27" s="1"/>
    </row>
    <row r="28" spans="1:9" ht="14" x14ac:dyDescent="0.3">
      <c r="A28" s="6">
        <v>9</v>
      </c>
      <c r="B28" s="15" t="s">
        <v>208</v>
      </c>
      <c r="C28" s="16" t="s">
        <v>209</v>
      </c>
      <c r="D28" s="16"/>
      <c r="E28" s="17" t="s">
        <v>89</v>
      </c>
      <c r="F28" s="17" t="s">
        <v>226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210</v>
      </c>
      <c r="C29" s="16" t="s">
        <v>211</v>
      </c>
      <c r="D29" s="16"/>
      <c r="E29" s="17" t="s">
        <v>90</v>
      </c>
      <c r="F29" s="17" t="s">
        <v>230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212</v>
      </c>
      <c r="C30" s="16" t="s">
        <v>227</v>
      </c>
      <c r="D30" s="16"/>
      <c r="E30" s="17" t="s">
        <v>89</v>
      </c>
      <c r="F30" s="17" t="s">
        <v>228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213</v>
      </c>
      <c r="C31" s="16" t="s">
        <v>76</v>
      </c>
      <c r="D31" s="16"/>
      <c r="E31" s="17" t="s">
        <v>90</v>
      </c>
      <c r="F31" s="17" t="s">
        <v>231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214</v>
      </c>
      <c r="C32" s="16" t="s">
        <v>215</v>
      </c>
      <c r="D32" s="16"/>
      <c r="E32" s="17" t="s">
        <v>207</v>
      </c>
      <c r="F32" s="17" t="s">
        <v>221</v>
      </c>
      <c r="G32" s="17" t="s">
        <v>109</v>
      </c>
      <c r="H32" s="9" t="s">
        <v>36</v>
      </c>
      <c r="I32" s="1"/>
    </row>
    <row r="33" spans="1:9" ht="14" x14ac:dyDescent="0.3">
      <c r="A33" s="6">
        <v>14</v>
      </c>
      <c r="B33" s="15" t="s">
        <v>216</v>
      </c>
      <c r="C33" s="16" t="s">
        <v>217</v>
      </c>
      <c r="D33" s="16"/>
      <c r="E33" s="17" t="s">
        <v>121</v>
      </c>
      <c r="F33" s="17" t="s">
        <v>182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218</v>
      </c>
      <c r="C34" s="16" t="s">
        <v>219</v>
      </c>
      <c r="D34" s="16"/>
      <c r="E34" s="17" t="s">
        <v>207</v>
      </c>
      <c r="F34" s="17" t="s">
        <v>223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95" priority="7" stopIfTrue="1">
      <formula>MOD(ROW(),2)=0</formula>
    </cfRule>
    <cfRule type="expression" dxfId="94" priority="8" stopIfTrue="1">
      <formula>MOD(ROW(),2)=1</formula>
    </cfRule>
  </conditionalFormatting>
  <conditionalFormatting sqref="C20">
    <cfRule type="expression" dxfId="93" priority="5" stopIfTrue="1">
      <formula>MOD(ROW(),2)=0</formula>
    </cfRule>
    <cfRule type="expression" dxfId="92" priority="6" stopIfTrue="1">
      <formula>MOD(ROW(),2)=1</formula>
    </cfRule>
  </conditionalFormatting>
  <conditionalFormatting sqref="F20:G40">
    <cfRule type="expression" dxfId="91" priority="1" stopIfTrue="1">
      <formula>MOD(ROW(),2)=0</formula>
    </cfRule>
    <cfRule type="expression" dxfId="9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topLeftCell="A20" zoomScaleNormal="100" workbookViewId="0">
      <selection activeCell="F29" sqref="F29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23.54296875" bestFit="1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53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11074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5715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4721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994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0.51607368611161275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233</v>
      </c>
      <c r="C20" s="13" t="s">
        <v>234</v>
      </c>
      <c r="D20" s="13"/>
      <c r="E20" s="14" t="s">
        <v>84</v>
      </c>
      <c r="F20" s="14" t="s">
        <v>261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235</v>
      </c>
      <c r="C21" s="16" t="s">
        <v>236</v>
      </c>
      <c r="D21" s="16"/>
      <c r="E21" s="17" t="s">
        <v>121</v>
      </c>
      <c r="F21" s="17" t="s">
        <v>264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237</v>
      </c>
      <c r="C22" s="16" t="s">
        <v>238</v>
      </c>
      <c r="D22" s="16"/>
      <c r="E22" s="17" t="s">
        <v>89</v>
      </c>
      <c r="F22" s="17" t="s">
        <v>263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114</v>
      </c>
      <c r="C23" s="16" t="s">
        <v>241</v>
      </c>
      <c r="D23" s="16"/>
      <c r="E23" s="17" t="s">
        <v>84</v>
      </c>
      <c r="F23" s="17" t="s">
        <v>262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239</v>
      </c>
      <c r="C24" s="16" t="s">
        <v>240</v>
      </c>
      <c r="D24" s="16"/>
      <c r="E24" s="17" t="s">
        <v>121</v>
      </c>
      <c r="F24" s="17" t="s">
        <v>266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242</v>
      </c>
      <c r="C25" s="16" t="s">
        <v>243</v>
      </c>
      <c r="D25" s="16"/>
      <c r="E25" s="17" t="s">
        <v>90</v>
      </c>
      <c r="F25" s="17" t="s">
        <v>265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244</v>
      </c>
      <c r="C26" s="16" t="s">
        <v>133</v>
      </c>
      <c r="D26" s="16"/>
      <c r="E26" s="17" t="s">
        <v>89</v>
      </c>
      <c r="F26" s="17" t="s">
        <v>185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245</v>
      </c>
      <c r="C27" s="16" t="s">
        <v>246</v>
      </c>
      <c r="D27" s="16"/>
      <c r="E27" s="17" t="s">
        <v>84</v>
      </c>
      <c r="F27" s="17" t="s">
        <v>260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247</v>
      </c>
      <c r="C28" s="16" t="s">
        <v>248</v>
      </c>
      <c r="D28" s="16"/>
      <c r="E28" s="17" t="s">
        <v>89</v>
      </c>
      <c r="F28" s="17" t="s">
        <v>267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249</v>
      </c>
      <c r="C29" s="16" t="s">
        <v>250</v>
      </c>
      <c r="D29" s="16"/>
      <c r="E29" s="17" t="s">
        <v>121</v>
      </c>
      <c r="F29" s="17" t="s">
        <v>259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251</v>
      </c>
      <c r="C30" s="16" t="s">
        <v>252</v>
      </c>
      <c r="D30" s="16"/>
      <c r="E30" s="17" t="s">
        <v>92</v>
      </c>
      <c r="F30" s="17" t="s">
        <v>258</v>
      </c>
      <c r="G30" s="17" t="s">
        <v>109</v>
      </c>
      <c r="H30" s="9" t="s">
        <v>34</v>
      </c>
      <c r="I30" s="1"/>
    </row>
    <row r="31" spans="1:9" ht="14" x14ac:dyDescent="0.3">
      <c r="A31" s="6">
        <v>12</v>
      </c>
      <c r="B31" s="15" t="s">
        <v>253</v>
      </c>
      <c r="C31" s="16" t="s">
        <v>254</v>
      </c>
      <c r="D31" s="16"/>
      <c r="E31" s="17" t="s">
        <v>92</v>
      </c>
      <c r="F31" s="17" t="s">
        <v>256</v>
      </c>
      <c r="G31" s="17" t="s">
        <v>109</v>
      </c>
      <c r="H31" s="9" t="s">
        <v>35</v>
      </c>
      <c r="I31" s="1"/>
    </row>
    <row r="32" spans="1:9" ht="14" x14ac:dyDescent="0.3">
      <c r="A32" s="6">
        <v>13</v>
      </c>
      <c r="B32" s="15" t="s">
        <v>192</v>
      </c>
      <c r="C32" s="16" t="s">
        <v>255</v>
      </c>
      <c r="D32" s="16"/>
      <c r="E32" s="17" t="s">
        <v>92</v>
      </c>
      <c r="F32" s="17" t="s">
        <v>257</v>
      </c>
      <c r="G32" s="17" t="s">
        <v>109</v>
      </c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89" priority="7" stopIfTrue="1">
      <formula>MOD(ROW(),2)=0</formula>
    </cfRule>
    <cfRule type="expression" dxfId="88" priority="8" stopIfTrue="1">
      <formula>MOD(ROW(),2)=1</formula>
    </cfRule>
  </conditionalFormatting>
  <conditionalFormatting sqref="C20">
    <cfRule type="expression" dxfId="87" priority="5" stopIfTrue="1">
      <formula>MOD(ROW(),2)=0</formula>
    </cfRule>
    <cfRule type="expression" dxfId="86" priority="6" stopIfTrue="1">
      <formula>MOD(ROW(),2)=1</formula>
    </cfRule>
  </conditionalFormatting>
  <conditionalFormatting sqref="F20:G40">
    <cfRule type="expression" dxfId="85" priority="1" stopIfTrue="1">
      <formula>MOD(ROW(),2)=0</formula>
    </cfRule>
    <cfRule type="expression" dxfId="8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topLeftCell="A17" zoomScaleNormal="100" workbookViewId="0">
      <selection activeCell="F20" sqref="F20:F33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54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11436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4479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3738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741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0.3916579223504722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12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14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268</v>
      </c>
      <c r="C20" s="13" t="s">
        <v>269</v>
      </c>
      <c r="D20" s="13"/>
      <c r="E20" s="14" t="s">
        <v>270</v>
      </c>
      <c r="F20" s="14" t="s">
        <v>298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271</v>
      </c>
      <c r="C21" s="16" t="s">
        <v>272</v>
      </c>
      <c r="D21" s="16"/>
      <c r="E21" s="17" t="s">
        <v>89</v>
      </c>
      <c r="F21" s="17" t="s">
        <v>305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273</v>
      </c>
      <c r="C22" s="16" t="s">
        <v>76</v>
      </c>
      <c r="D22" s="16"/>
      <c r="E22" s="17" t="s">
        <v>89</v>
      </c>
      <c r="F22" s="17" t="s">
        <v>301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274</v>
      </c>
      <c r="C23" s="16" t="s">
        <v>275</v>
      </c>
      <c r="D23" s="16"/>
      <c r="E23" s="17" t="s">
        <v>92</v>
      </c>
      <c r="F23" s="17" t="s">
        <v>295</v>
      </c>
      <c r="G23" s="17" t="s">
        <v>109</v>
      </c>
      <c r="H23" s="9" t="s">
        <v>27</v>
      </c>
      <c r="I23" s="1"/>
    </row>
    <row r="24" spans="1:9" ht="14" x14ac:dyDescent="0.3">
      <c r="A24" s="6">
        <v>5</v>
      </c>
      <c r="B24" s="15" t="s">
        <v>276</v>
      </c>
      <c r="C24" s="16" t="s">
        <v>248</v>
      </c>
      <c r="D24" s="16"/>
      <c r="E24" s="17" t="s">
        <v>121</v>
      </c>
      <c r="F24" s="17" t="s">
        <v>304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277</v>
      </c>
      <c r="C25" s="16" t="s">
        <v>278</v>
      </c>
      <c r="D25" s="16"/>
      <c r="E25" s="17" t="s">
        <v>92</v>
      </c>
      <c r="F25" s="17" t="s">
        <v>297</v>
      </c>
      <c r="G25" s="17" t="s">
        <v>109</v>
      </c>
      <c r="H25" s="9" t="s">
        <v>29</v>
      </c>
      <c r="I25" s="1"/>
    </row>
    <row r="26" spans="1:9" ht="14" x14ac:dyDescent="0.3">
      <c r="A26" s="6">
        <v>7</v>
      </c>
      <c r="B26" s="15" t="s">
        <v>279</v>
      </c>
      <c r="C26" s="16" t="s">
        <v>280</v>
      </c>
      <c r="D26" s="16"/>
      <c r="E26" s="17" t="s">
        <v>281</v>
      </c>
      <c r="F26" s="17" t="s">
        <v>307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282</v>
      </c>
      <c r="C27" s="16" t="s">
        <v>283</v>
      </c>
      <c r="D27" s="16"/>
      <c r="E27" s="17" t="s">
        <v>90</v>
      </c>
      <c r="F27" s="17" t="s">
        <v>302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284</v>
      </c>
      <c r="C28" s="16" t="s">
        <v>285</v>
      </c>
      <c r="D28" s="16"/>
      <c r="E28" s="17" t="s">
        <v>121</v>
      </c>
      <c r="F28" s="17" t="s">
        <v>303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87</v>
      </c>
      <c r="C29" s="16" t="s">
        <v>286</v>
      </c>
      <c r="D29" s="16"/>
      <c r="E29" s="17" t="s">
        <v>89</v>
      </c>
      <c r="F29" s="17" t="s">
        <v>306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287</v>
      </c>
      <c r="C30" s="16" t="s">
        <v>288</v>
      </c>
      <c r="D30" s="16"/>
      <c r="E30" s="17" t="s">
        <v>270</v>
      </c>
      <c r="F30" s="17" t="s">
        <v>299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289</v>
      </c>
      <c r="C31" s="16" t="s">
        <v>206</v>
      </c>
      <c r="D31" s="16"/>
      <c r="E31" s="17" t="s">
        <v>290</v>
      </c>
      <c r="F31" s="17" t="s">
        <v>308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291</v>
      </c>
      <c r="C32" s="16" t="s">
        <v>292</v>
      </c>
      <c r="D32" s="16"/>
      <c r="E32" s="17" t="s">
        <v>92</v>
      </c>
      <c r="F32" s="17" t="s">
        <v>296</v>
      </c>
      <c r="G32" s="17" t="s">
        <v>109</v>
      </c>
      <c r="H32" s="9" t="s">
        <v>36</v>
      </c>
      <c r="I32" s="1"/>
    </row>
    <row r="33" spans="1:9" ht="14" x14ac:dyDescent="0.3">
      <c r="A33" s="6">
        <v>14</v>
      </c>
      <c r="B33" s="15" t="s">
        <v>293</v>
      </c>
      <c r="C33" s="16" t="s">
        <v>294</v>
      </c>
      <c r="D33" s="16"/>
      <c r="E33" s="17" t="s">
        <v>270</v>
      </c>
      <c r="F33" s="17" t="s">
        <v>300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83" priority="7" stopIfTrue="1">
      <formula>MOD(ROW(),2)=0</formula>
    </cfRule>
    <cfRule type="expression" dxfId="82" priority="8" stopIfTrue="1">
      <formula>MOD(ROW(),2)=1</formula>
    </cfRule>
  </conditionalFormatting>
  <conditionalFormatting sqref="C20">
    <cfRule type="expression" dxfId="81" priority="5" stopIfTrue="1">
      <formula>MOD(ROW(),2)=0</formula>
    </cfRule>
    <cfRule type="expression" dxfId="80" priority="6" stopIfTrue="1">
      <formula>MOD(ROW(),2)=1</formula>
    </cfRule>
  </conditionalFormatting>
  <conditionalFormatting sqref="F20:G40">
    <cfRule type="expression" dxfId="79" priority="1" stopIfTrue="1">
      <formula>MOD(ROW(),2)=0</formula>
    </cfRule>
    <cfRule type="expression" dxfId="7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topLeftCell="A20" zoomScaleNormal="100" workbookViewId="0">
      <selection activeCell="F30" sqref="F30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55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12487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3922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3006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916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0.31408665011612075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8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13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309</v>
      </c>
      <c r="C20" s="13" t="s">
        <v>310</v>
      </c>
      <c r="D20" s="13"/>
      <c r="E20" s="14" t="s">
        <v>121</v>
      </c>
      <c r="F20" s="14" t="s">
        <v>345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311</v>
      </c>
      <c r="C21" s="16" t="s">
        <v>312</v>
      </c>
      <c r="D21" s="16"/>
      <c r="E21" s="17" t="s">
        <v>90</v>
      </c>
      <c r="F21" s="17" t="s">
        <v>341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313</v>
      </c>
      <c r="C22" s="16" t="s">
        <v>314</v>
      </c>
      <c r="D22" s="16"/>
      <c r="E22" s="17" t="s">
        <v>207</v>
      </c>
      <c r="F22" s="17" t="s">
        <v>334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315</v>
      </c>
      <c r="C23" s="16" t="s">
        <v>294</v>
      </c>
      <c r="D23" s="16"/>
      <c r="E23" s="17" t="s">
        <v>121</v>
      </c>
      <c r="F23" s="17" t="s">
        <v>346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316</v>
      </c>
      <c r="C24" s="16" t="s">
        <v>317</v>
      </c>
      <c r="D24" s="16"/>
      <c r="E24" s="16" t="s">
        <v>89</v>
      </c>
      <c r="F24" s="17" t="s">
        <v>348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318</v>
      </c>
      <c r="C25" s="16" t="s">
        <v>319</v>
      </c>
      <c r="D25" s="16"/>
      <c r="E25" s="17" t="s">
        <v>207</v>
      </c>
      <c r="F25" s="17" t="s">
        <v>335</v>
      </c>
      <c r="G25" s="17" t="s">
        <v>109</v>
      </c>
      <c r="H25" s="9" t="s">
        <v>29</v>
      </c>
      <c r="I25" s="1"/>
    </row>
    <row r="26" spans="1:9" ht="14" x14ac:dyDescent="0.3">
      <c r="A26" s="6">
        <v>7</v>
      </c>
      <c r="B26" s="15" t="s">
        <v>320</v>
      </c>
      <c r="C26" s="16" t="s">
        <v>321</v>
      </c>
      <c r="D26" s="16"/>
      <c r="E26" s="17" t="s">
        <v>121</v>
      </c>
      <c r="F26" s="17" t="s">
        <v>347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322</v>
      </c>
      <c r="C27" s="16" t="s">
        <v>323</v>
      </c>
      <c r="D27" s="16"/>
      <c r="E27" s="17" t="s">
        <v>89</v>
      </c>
      <c r="F27" s="17" t="s">
        <v>349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324</v>
      </c>
      <c r="C28" s="16" t="s">
        <v>338</v>
      </c>
      <c r="D28" s="16"/>
      <c r="E28" s="17" t="s">
        <v>92</v>
      </c>
      <c r="F28" s="17" t="s">
        <v>339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325</v>
      </c>
      <c r="C29" s="16" t="s">
        <v>95</v>
      </c>
      <c r="D29" s="16"/>
      <c r="E29" s="17" t="s">
        <v>89</v>
      </c>
      <c r="F29" s="17" t="s">
        <v>350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210</v>
      </c>
      <c r="C30" s="16" t="s">
        <v>326</v>
      </c>
      <c r="D30" s="16"/>
      <c r="E30" s="17" t="s">
        <v>90</v>
      </c>
      <c r="F30" s="17" t="s">
        <v>342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337</v>
      </c>
      <c r="C31" s="16" t="s">
        <v>327</v>
      </c>
      <c r="D31" s="16"/>
      <c r="E31" s="17" t="s">
        <v>207</v>
      </c>
      <c r="F31" s="17" t="s">
        <v>336</v>
      </c>
      <c r="G31" s="17" t="s">
        <v>109</v>
      </c>
      <c r="H31" s="9" t="s">
        <v>35</v>
      </c>
      <c r="I31" s="1"/>
    </row>
    <row r="32" spans="1:9" ht="14" x14ac:dyDescent="0.3">
      <c r="A32" s="6">
        <v>13</v>
      </c>
      <c r="B32" s="15" t="s">
        <v>328</v>
      </c>
      <c r="C32" s="16" t="s">
        <v>329</v>
      </c>
      <c r="D32" s="16"/>
      <c r="E32" s="17" t="s">
        <v>90</v>
      </c>
      <c r="F32" s="17" t="s">
        <v>344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330</v>
      </c>
      <c r="C33" s="16" t="s">
        <v>331</v>
      </c>
      <c r="D33" s="16"/>
      <c r="E33" s="17" t="s">
        <v>92</v>
      </c>
      <c r="F33" s="17" t="s">
        <v>340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332</v>
      </c>
      <c r="C34" s="16" t="s">
        <v>333</v>
      </c>
      <c r="D34" s="16"/>
      <c r="E34" s="17" t="s">
        <v>92</v>
      </c>
      <c r="F34" s="17" t="s">
        <v>343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77" priority="7" stopIfTrue="1">
      <formula>MOD(ROW(),2)=0</formula>
    </cfRule>
    <cfRule type="expression" dxfId="76" priority="8" stopIfTrue="1">
      <formula>MOD(ROW(),2)=1</formula>
    </cfRule>
  </conditionalFormatting>
  <conditionalFormatting sqref="C20">
    <cfRule type="expression" dxfId="75" priority="5" stopIfTrue="1">
      <formula>MOD(ROW(),2)=0</formula>
    </cfRule>
    <cfRule type="expression" dxfId="74" priority="6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topLeftCell="B1" zoomScale="60" zoomScaleNormal="60" workbookViewId="0">
      <selection activeCell="G33" sqref="G33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56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10097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3572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2816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756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0.35376844607309099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19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21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351</v>
      </c>
      <c r="C20" s="13" t="s">
        <v>352</v>
      </c>
      <c r="D20" s="13"/>
      <c r="E20" s="14"/>
      <c r="F20" s="14" t="s">
        <v>394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353</v>
      </c>
      <c r="C21" s="16" t="s">
        <v>354</v>
      </c>
      <c r="D21" s="16"/>
      <c r="E21" s="17"/>
      <c r="F21" s="17" t="s">
        <v>390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355</v>
      </c>
      <c r="C22" s="16" t="s">
        <v>356</v>
      </c>
      <c r="D22" s="16"/>
      <c r="E22" s="17" t="s">
        <v>92</v>
      </c>
      <c r="F22" s="17" t="s">
        <v>381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357</v>
      </c>
      <c r="C23" s="16" t="s">
        <v>358</v>
      </c>
      <c r="D23" s="16"/>
      <c r="E23" s="17" t="s">
        <v>270</v>
      </c>
      <c r="F23" s="17" t="s">
        <v>385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359</v>
      </c>
      <c r="C24" s="16" t="s">
        <v>360</v>
      </c>
      <c r="D24" s="16"/>
      <c r="E24" s="17" t="s">
        <v>89</v>
      </c>
      <c r="F24" s="17" t="s">
        <v>387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361</v>
      </c>
      <c r="C25" s="16" t="s">
        <v>362</v>
      </c>
      <c r="D25" s="16"/>
      <c r="E25" s="17" t="s">
        <v>270</v>
      </c>
      <c r="F25" s="17" t="s">
        <v>384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363</v>
      </c>
      <c r="C26" s="16" t="s">
        <v>364</v>
      </c>
      <c r="D26" s="16"/>
      <c r="E26" s="17" t="s">
        <v>92</v>
      </c>
      <c r="F26" s="17" t="s">
        <v>383</v>
      </c>
      <c r="G26" s="17" t="s">
        <v>109</v>
      </c>
      <c r="H26" s="9" t="s">
        <v>30</v>
      </c>
      <c r="I26" s="1"/>
    </row>
    <row r="27" spans="1:9" ht="14" x14ac:dyDescent="0.3">
      <c r="A27" s="6">
        <v>8</v>
      </c>
      <c r="B27" s="15" t="s">
        <v>365</v>
      </c>
      <c r="C27" s="16" t="s">
        <v>366</v>
      </c>
      <c r="D27" s="16"/>
      <c r="E27" s="17" t="s">
        <v>270</v>
      </c>
      <c r="F27" s="17" t="s">
        <v>386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367</v>
      </c>
      <c r="C28" s="16" t="s">
        <v>368</v>
      </c>
      <c r="D28" s="16"/>
      <c r="E28" s="17" t="s">
        <v>89</v>
      </c>
      <c r="F28" s="17" t="s">
        <v>388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369</v>
      </c>
      <c r="C29" s="16" t="s">
        <v>370</v>
      </c>
      <c r="D29" s="16"/>
      <c r="E29" s="17" t="s">
        <v>121</v>
      </c>
      <c r="F29" s="17" t="s">
        <v>391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371</v>
      </c>
      <c r="C30" s="16" t="s">
        <v>96</v>
      </c>
      <c r="D30" s="16"/>
      <c r="E30" s="17" t="s">
        <v>121</v>
      </c>
      <c r="F30" s="17" t="s">
        <v>389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372</v>
      </c>
      <c r="C31" s="16" t="s">
        <v>373</v>
      </c>
      <c r="D31" s="16"/>
      <c r="E31" s="17" t="s">
        <v>121</v>
      </c>
      <c r="F31" s="17" t="s">
        <v>303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374</v>
      </c>
      <c r="C32" s="16" t="s">
        <v>375</v>
      </c>
      <c r="D32" s="16"/>
      <c r="E32" s="17" t="s">
        <v>376</v>
      </c>
      <c r="F32" s="17" t="s">
        <v>393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377</v>
      </c>
      <c r="C33" s="16" t="s">
        <v>378</v>
      </c>
      <c r="D33" s="16"/>
      <c r="E33" s="17" t="s">
        <v>92</v>
      </c>
      <c r="F33" s="17" t="s">
        <v>382</v>
      </c>
      <c r="G33" s="17" t="s">
        <v>109</v>
      </c>
      <c r="H33" s="9" t="s">
        <v>37</v>
      </c>
      <c r="I33" s="1"/>
    </row>
    <row r="34" spans="1:9" ht="14" x14ac:dyDescent="0.3">
      <c r="A34" s="6">
        <v>15</v>
      </c>
      <c r="B34" s="15" t="s">
        <v>192</v>
      </c>
      <c r="C34" s="16" t="s">
        <v>379</v>
      </c>
      <c r="D34" s="16"/>
      <c r="E34" s="17" t="s">
        <v>90</v>
      </c>
      <c r="F34" s="17" t="s">
        <v>264</v>
      </c>
      <c r="G34" s="17"/>
      <c r="H34" s="9" t="s">
        <v>38</v>
      </c>
      <c r="I34" s="1"/>
    </row>
    <row r="35" spans="1:9" ht="14" x14ac:dyDescent="0.3">
      <c r="A35" s="6">
        <v>16</v>
      </c>
      <c r="B35" s="15" t="s">
        <v>380</v>
      </c>
      <c r="C35" s="16" t="s">
        <v>240</v>
      </c>
      <c r="D35" s="16"/>
      <c r="E35" s="17" t="s">
        <v>89</v>
      </c>
      <c r="F35" s="17" t="s">
        <v>392</v>
      </c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topLeftCell="B1" zoomScale="60" zoomScaleNormal="60" workbookViewId="0">
      <selection activeCell="G24" sqref="G24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57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11228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5429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4322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1107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0.48352333452084073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15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14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395</v>
      </c>
      <c r="C20" s="13" t="s">
        <v>130</v>
      </c>
      <c r="D20" s="13"/>
      <c r="E20" s="14" t="s">
        <v>270</v>
      </c>
      <c r="F20" s="14" t="s">
        <v>421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427</v>
      </c>
      <c r="C21" s="16" t="s">
        <v>396</v>
      </c>
      <c r="D21" s="16"/>
      <c r="E21" s="17" t="s">
        <v>121</v>
      </c>
      <c r="F21" s="17" t="s">
        <v>426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397</v>
      </c>
      <c r="C22" s="16" t="s">
        <v>398</v>
      </c>
      <c r="D22" s="16"/>
      <c r="E22" s="17" t="s">
        <v>90</v>
      </c>
      <c r="F22" s="17" t="s">
        <v>428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399</v>
      </c>
      <c r="C23" s="16" t="s">
        <v>128</v>
      </c>
      <c r="D23" s="16"/>
      <c r="E23" s="17" t="s">
        <v>89</v>
      </c>
      <c r="F23" s="17" t="s">
        <v>424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400</v>
      </c>
      <c r="C24" s="16" t="s">
        <v>401</v>
      </c>
      <c r="D24" s="16"/>
      <c r="E24" s="17" t="s">
        <v>402</v>
      </c>
      <c r="F24" s="17" t="s">
        <v>433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403</v>
      </c>
      <c r="C25" s="16" t="s">
        <v>404</v>
      </c>
      <c r="D25" s="16"/>
      <c r="E25" s="17" t="s">
        <v>92</v>
      </c>
      <c r="F25" s="17" t="s">
        <v>420</v>
      </c>
      <c r="G25" s="17" t="s">
        <v>109</v>
      </c>
      <c r="H25" s="9" t="s">
        <v>29</v>
      </c>
      <c r="I25" s="1"/>
    </row>
    <row r="26" spans="1:9" ht="14" x14ac:dyDescent="0.3">
      <c r="A26" s="6">
        <v>7</v>
      </c>
      <c r="B26" s="15" t="s">
        <v>405</v>
      </c>
      <c r="C26" s="16" t="s">
        <v>406</v>
      </c>
      <c r="D26" s="16"/>
      <c r="E26" s="17" t="s">
        <v>121</v>
      </c>
      <c r="F26" s="17" t="s">
        <v>349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407</v>
      </c>
      <c r="C27" s="16" t="s">
        <v>408</v>
      </c>
      <c r="D27" s="16"/>
      <c r="E27" s="17" t="s">
        <v>270</v>
      </c>
      <c r="F27" s="17" t="s">
        <v>423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409</v>
      </c>
      <c r="C28" s="16" t="s">
        <v>410</v>
      </c>
      <c r="D28" s="16"/>
      <c r="E28" s="17" t="s">
        <v>89</v>
      </c>
      <c r="F28" s="17" t="s">
        <v>430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328</v>
      </c>
      <c r="C29" s="16" t="s">
        <v>411</v>
      </c>
      <c r="D29" s="16"/>
      <c r="E29" s="17" t="s">
        <v>92</v>
      </c>
      <c r="F29" s="17" t="s">
        <v>419</v>
      </c>
      <c r="G29" s="17" t="s">
        <v>109</v>
      </c>
      <c r="H29" s="9" t="s">
        <v>33</v>
      </c>
      <c r="I29" s="1"/>
    </row>
    <row r="30" spans="1:9" ht="14" x14ac:dyDescent="0.3">
      <c r="A30" s="6">
        <v>11</v>
      </c>
      <c r="B30" s="15" t="s">
        <v>412</v>
      </c>
      <c r="C30" s="16" t="s">
        <v>94</v>
      </c>
      <c r="D30" s="16"/>
      <c r="E30" s="17" t="s">
        <v>89</v>
      </c>
      <c r="F30" s="17" t="s">
        <v>425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413</v>
      </c>
      <c r="C31" s="16" t="s">
        <v>414</v>
      </c>
      <c r="D31" s="16"/>
      <c r="E31" s="17" t="s">
        <v>121</v>
      </c>
      <c r="F31" s="17" t="s">
        <v>432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415</v>
      </c>
      <c r="C32" s="16" t="s">
        <v>416</v>
      </c>
      <c r="D32" s="16"/>
      <c r="E32" s="17" t="s">
        <v>90</v>
      </c>
      <c r="F32" s="17" t="s">
        <v>431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417</v>
      </c>
      <c r="C33" s="16" t="s">
        <v>418</v>
      </c>
      <c r="D33" s="16"/>
      <c r="E33" s="17" t="s">
        <v>270</v>
      </c>
      <c r="F33" s="17" t="s">
        <v>422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topLeftCell="A4" zoomScale="60" zoomScaleNormal="60" workbookViewId="0">
      <selection activeCell="G18" sqref="G18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58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10943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4239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3323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916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0.38737092205062595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12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16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351</v>
      </c>
      <c r="C20" s="13" t="s">
        <v>434</v>
      </c>
      <c r="D20" s="13"/>
      <c r="E20" s="14"/>
      <c r="F20" s="14"/>
      <c r="G20" s="14"/>
      <c r="H20" s="9" t="s">
        <v>24</v>
      </c>
      <c r="I20" s="1"/>
    </row>
    <row r="21" spans="1:9" ht="14" x14ac:dyDescent="0.3">
      <c r="A21" s="6">
        <v>2</v>
      </c>
      <c r="B21" s="15" t="s">
        <v>435</v>
      </c>
      <c r="C21" s="16" t="s">
        <v>436</v>
      </c>
      <c r="D21" s="16"/>
      <c r="E21" s="17" t="s">
        <v>437</v>
      </c>
      <c r="F21" s="17" t="s">
        <v>456</v>
      </c>
      <c r="G21" s="17" t="s">
        <v>109</v>
      </c>
      <c r="H21" s="9" t="s">
        <v>25</v>
      </c>
      <c r="I21" s="1"/>
    </row>
    <row r="22" spans="1:9" ht="14" x14ac:dyDescent="0.3">
      <c r="A22" s="6">
        <v>3</v>
      </c>
      <c r="B22" s="15" t="s">
        <v>438</v>
      </c>
      <c r="C22" s="16" t="s">
        <v>206</v>
      </c>
      <c r="D22" s="16"/>
      <c r="E22" s="17" t="s">
        <v>121</v>
      </c>
      <c r="F22" s="17"/>
      <c r="G22" s="17"/>
      <c r="H22" s="9" t="s">
        <v>26</v>
      </c>
      <c r="I22" s="1"/>
    </row>
    <row r="23" spans="1:9" ht="14" x14ac:dyDescent="0.3">
      <c r="A23" s="6">
        <v>4</v>
      </c>
      <c r="B23" s="15" t="s">
        <v>439</v>
      </c>
      <c r="C23" s="16" t="s">
        <v>120</v>
      </c>
      <c r="D23" s="16"/>
      <c r="E23" s="17" t="s">
        <v>89</v>
      </c>
      <c r="F23" s="17"/>
      <c r="G23" s="17"/>
      <c r="H23" s="9" t="s">
        <v>27</v>
      </c>
      <c r="I23" s="1"/>
    </row>
    <row r="24" spans="1:9" ht="14" x14ac:dyDescent="0.3">
      <c r="A24" s="6">
        <v>5</v>
      </c>
      <c r="B24" s="15" t="s">
        <v>440</v>
      </c>
      <c r="C24" s="16" t="s">
        <v>366</v>
      </c>
      <c r="D24" s="16"/>
      <c r="E24" s="17" t="s">
        <v>92</v>
      </c>
      <c r="F24" s="17" t="s">
        <v>299</v>
      </c>
      <c r="G24" s="17" t="s">
        <v>109</v>
      </c>
      <c r="H24" s="9" t="s">
        <v>28</v>
      </c>
      <c r="I24" s="1"/>
    </row>
    <row r="25" spans="1:9" ht="14" x14ac:dyDescent="0.3">
      <c r="A25" s="6">
        <v>6</v>
      </c>
      <c r="B25" s="15" t="s">
        <v>441</v>
      </c>
      <c r="C25" s="16" t="s">
        <v>442</v>
      </c>
      <c r="D25" s="16"/>
      <c r="E25" s="17" t="s">
        <v>92</v>
      </c>
      <c r="F25" s="17"/>
      <c r="G25" s="17"/>
      <c r="H25" s="9" t="s">
        <v>29</v>
      </c>
      <c r="I25" s="1"/>
    </row>
    <row r="26" spans="1:9" ht="14" x14ac:dyDescent="0.3">
      <c r="A26" s="6">
        <v>7</v>
      </c>
      <c r="B26" s="15" t="s">
        <v>443</v>
      </c>
      <c r="C26" s="16" t="s">
        <v>286</v>
      </c>
      <c r="D26" s="16"/>
      <c r="E26" s="17" t="s">
        <v>437</v>
      </c>
      <c r="F26" s="17" t="s">
        <v>458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444</v>
      </c>
      <c r="C27" s="16" t="s">
        <v>445</v>
      </c>
      <c r="D27" s="16"/>
      <c r="E27" s="17" t="s">
        <v>89</v>
      </c>
      <c r="F27" s="17"/>
      <c r="G27" s="17"/>
      <c r="H27" s="9" t="s">
        <v>31</v>
      </c>
      <c r="I27" s="1"/>
    </row>
    <row r="28" spans="1:9" ht="14" x14ac:dyDescent="0.3">
      <c r="A28" s="6">
        <v>9</v>
      </c>
      <c r="B28" s="15" t="s">
        <v>446</v>
      </c>
      <c r="C28" s="16" t="s">
        <v>447</v>
      </c>
      <c r="D28" s="16"/>
      <c r="E28" s="17" t="s">
        <v>89</v>
      </c>
      <c r="F28" s="17"/>
      <c r="G28" s="17"/>
      <c r="H28" s="9" t="s">
        <v>32</v>
      </c>
      <c r="I28" s="1"/>
    </row>
    <row r="29" spans="1:9" ht="14" x14ac:dyDescent="0.3">
      <c r="A29" s="6">
        <v>10</v>
      </c>
      <c r="B29" s="15" t="s">
        <v>448</v>
      </c>
      <c r="C29" s="16" t="s">
        <v>449</v>
      </c>
      <c r="D29" s="16"/>
      <c r="E29" s="17" t="s">
        <v>121</v>
      </c>
      <c r="F29" s="17"/>
      <c r="G29" s="17"/>
      <c r="H29" s="9" t="s">
        <v>33</v>
      </c>
      <c r="I29" s="1"/>
    </row>
    <row r="30" spans="1:9" ht="14" x14ac:dyDescent="0.3">
      <c r="A30" s="6">
        <v>11</v>
      </c>
      <c r="B30" s="15" t="s">
        <v>68</v>
      </c>
      <c r="C30" s="16" t="s">
        <v>450</v>
      </c>
      <c r="D30" s="16"/>
      <c r="E30" s="17" t="s">
        <v>437</v>
      </c>
      <c r="F30" s="17" t="s">
        <v>457</v>
      </c>
      <c r="G30" s="17" t="s">
        <v>109</v>
      </c>
      <c r="H30" s="9" t="s">
        <v>34</v>
      </c>
      <c r="I30" s="1"/>
    </row>
    <row r="31" spans="1:9" ht="14" x14ac:dyDescent="0.3">
      <c r="A31" s="6">
        <v>12</v>
      </c>
      <c r="B31" s="15" t="s">
        <v>210</v>
      </c>
      <c r="C31" s="16" t="s">
        <v>130</v>
      </c>
      <c r="D31" s="16"/>
      <c r="E31" s="17" t="s">
        <v>90</v>
      </c>
      <c r="F31" s="17"/>
      <c r="G31" s="17"/>
      <c r="H31" s="9" t="s">
        <v>35</v>
      </c>
      <c r="I31" s="1"/>
    </row>
    <row r="32" spans="1:9" ht="14" x14ac:dyDescent="0.3">
      <c r="A32" s="6">
        <v>13</v>
      </c>
      <c r="B32" s="15" t="s">
        <v>451</v>
      </c>
      <c r="C32" s="16" t="s">
        <v>294</v>
      </c>
      <c r="D32" s="16"/>
      <c r="E32" s="17" t="s">
        <v>90</v>
      </c>
      <c r="F32" s="17"/>
      <c r="G32" s="17"/>
      <c r="H32" s="9" t="s">
        <v>36</v>
      </c>
      <c r="I32" s="1"/>
    </row>
    <row r="33" spans="1:9" ht="14" x14ac:dyDescent="0.3">
      <c r="A33" s="6">
        <v>14</v>
      </c>
      <c r="B33" s="15" t="s">
        <v>452</v>
      </c>
      <c r="C33" s="16" t="s">
        <v>453</v>
      </c>
      <c r="D33" s="16"/>
      <c r="E33" s="17" t="s">
        <v>121</v>
      </c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 t="s">
        <v>454</v>
      </c>
      <c r="C34" s="16" t="s">
        <v>455</v>
      </c>
      <c r="D34" s="16"/>
      <c r="E34" s="17" t="s">
        <v>92</v>
      </c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="60" zoomScaleNormal="60" workbookViewId="0">
      <selection activeCell="F30" sqref="F30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59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13432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5337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4263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1074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0.39733472304943418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21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459</v>
      </c>
      <c r="C20" s="13" t="s">
        <v>460</v>
      </c>
      <c r="D20" s="13"/>
      <c r="E20" s="14" t="s">
        <v>92</v>
      </c>
      <c r="F20" s="14" t="s">
        <v>489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461</v>
      </c>
      <c r="C21" s="16" t="s">
        <v>462</v>
      </c>
      <c r="D21" s="16"/>
      <c r="E21" s="17" t="s">
        <v>207</v>
      </c>
      <c r="F21" s="17" t="s">
        <v>488</v>
      </c>
      <c r="G21" s="17" t="s">
        <v>109</v>
      </c>
      <c r="H21" s="9" t="s">
        <v>25</v>
      </c>
      <c r="I21" s="1"/>
    </row>
    <row r="22" spans="1:9" ht="14" x14ac:dyDescent="0.3">
      <c r="A22" s="6">
        <v>3</v>
      </c>
      <c r="B22" s="15" t="s">
        <v>463</v>
      </c>
      <c r="C22" s="16" t="s">
        <v>464</v>
      </c>
      <c r="D22" s="16"/>
      <c r="E22" s="17" t="s">
        <v>90</v>
      </c>
      <c r="F22" s="17" t="s">
        <v>494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465</v>
      </c>
      <c r="C23" s="16" t="s">
        <v>466</v>
      </c>
      <c r="D23" s="16"/>
      <c r="E23" s="17" t="s">
        <v>92</v>
      </c>
      <c r="F23" s="17" t="s">
        <v>492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467</v>
      </c>
      <c r="C24" s="16" t="s">
        <v>468</v>
      </c>
      <c r="D24" s="16"/>
      <c r="E24" s="17" t="s">
        <v>89</v>
      </c>
      <c r="F24" s="17" t="s">
        <v>496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469</v>
      </c>
      <c r="C25" s="16" t="s">
        <v>252</v>
      </c>
      <c r="D25" s="16"/>
      <c r="E25" s="17" t="s">
        <v>121</v>
      </c>
      <c r="F25" s="17" t="s">
        <v>500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470</v>
      </c>
      <c r="C26" s="16" t="s">
        <v>286</v>
      </c>
      <c r="D26" s="16"/>
      <c r="E26" s="17" t="s">
        <v>207</v>
      </c>
      <c r="F26" s="17" t="s">
        <v>491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282</v>
      </c>
      <c r="C27" s="16" t="s">
        <v>471</v>
      </c>
      <c r="D27" s="16"/>
      <c r="E27" s="17" t="s">
        <v>90</v>
      </c>
      <c r="F27" s="17" t="s">
        <v>230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472</v>
      </c>
      <c r="C28" s="16" t="s">
        <v>473</v>
      </c>
      <c r="D28" s="16"/>
      <c r="E28" s="17" t="s">
        <v>89</v>
      </c>
      <c r="F28" s="17" t="s">
        <v>498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474</v>
      </c>
      <c r="C29" s="16" t="s">
        <v>475</v>
      </c>
      <c r="D29" s="16"/>
      <c r="E29" s="17"/>
      <c r="F29" s="17" t="s">
        <v>502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476</v>
      </c>
      <c r="C30" s="16" t="s">
        <v>168</v>
      </c>
      <c r="D30" s="16"/>
      <c r="E30" s="17" t="s">
        <v>477</v>
      </c>
      <c r="F30" s="17" t="s">
        <v>505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478</v>
      </c>
      <c r="C31" s="16" t="s">
        <v>479</v>
      </c>
      <c r="D31" s="16"/>
      <c r="E31" s="17" t="s">
        <v>90</v>
      </c>
      <c r="F31" s="17" t="s">
        <v>495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480</v>
      </c>
      <c r="C32" s="16" t="s">
        <v>481</v>
      </c>
      <c r="D32" s="16"/>
      <c r="E32" s="17" t="s">
        <v>89</v>
      </c>
      <c r="F32" s="17" t="s">
        <v>497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482</v>
      </c>
      <c r="C33" s="16" t="s">
        <v>352</v>
      </c>
      <c r="D33" s="16"/>
      <c r="E33" s="17" t="s">
        <v>207</v>
      </c>
      <c r="F33" s="17" t="s">
        <v>490</v>
      </c>
      <c r="G33" s="17" t="s">
        <v>109</v>
      </c>
      <c r="H33" s="9" t="s">
        <v>37</v>
      </c>
      <c r="I33" s="1"/>
    </row>
    <row r="34" spans="1:9" ht="14" x14ac:dyDescent="0.3">
      <c r="A34" s="6">
        <v>15</v>
      </c>
      <c r="B34" s="15" t="s">
        <v>483</v>
      </c>
      <c r="C34" s="16" t="s">
        <v>484</v>
      </c>
      <c r="D34" s="16"/>
      <c r="E34" s="17" t="s">
        <v>92</v>
      </c>
      <c r="F34" s="17" t="s">
        <v>493</v>
      </c>
      <c r="G34" s="17"/>
      <c r="H34" s="9" t="s">
        <v>38</v>
      </c>
      <c r="I34" s="1"/>
    </row>
    <row r="35" spans="1:9" ht="14" x14ac:dyDescent="0.3">
      <c r="A35" s="6">
        <v>16</v>
      </c>
      <c r="B35" s="15" t="s">
        <v>452</v>
      </c>
      <c r="C35" s="16" t="s">
        <v>485</v>
      </c>
      <c r="D35" s="16"/>
      <c r="E35" s="17" t="s">
        <v>74</v>
      </c>
      <c r="F35" s="17" t="s">
        <v>499</v>
      </c>
      <c r="G35" s="17"/>
      <c r="H35" s="9" t="s">
        <v>39</v>
      </c>
      <c r="I35" s="1"/>
    </row>
    <row r="36" spans="1:9" ht="14" x14ac:dyDescent="0.3">
      <c r="A36" s="6">
        <v>17</v>
      </c>
      <c r="B36" s="15" t="s">
        <v>486</v>
      </c>
      <c r="C36" s="16" t="s">
        <v>487</v>
      </c>
      <c r="D36" s="16"/>
      <c r="E36" s="17" t="s">
        <v>74</v>
      </c>
      <c r="F36" s="17" t="s">
        <v>501</v>
      </c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="59" zoomScaleNormal="100" workbookViewId="0">
      <selection activeCell="F31" sqref="F3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60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10955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5359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4354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1005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0.48918302145139209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12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506</v>
      </c>
      <c r="C20" s="13" t="s">
        <v>507</v>
      </c>
      <c r="D20" s="13"/>
      <c r="E20" s="14" t="s">
        <v>92</v>
      </c>
      <c r="F20" s="14" t="s">
        <v>529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508</v>
      </c>
      <c r="C21" s="16" t="s">
        <v>509</v>
      </c>
      <c r="D21" s="16"/>
      <c r="E21" s="17" t="s">
        <v>270</v>
      </c>
      <c r="F21" s="17" t="s">
        <v>532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510</v>
      </c>
      <c r="C22" s="16" t="s">
        <v>511</v>
      </c>
      <c r="D22" s="16"/>
      <c r="E22" s="17" t="s">
        <v>270</v>
      </c>
      <c r="F22" s="17" t="s">
        <v>533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512</v>
      </c>
      <c r="C23" s="16" t="s">
        <v>513</v>
      </c>
      <c r="D23" s="16"/>
      <c r="E23" s="17" t="s">
        <v>270</v>
      </c>
      <c r="F23" s="17" t="s">
        <v>183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514</v>
      </c>
      <c r="C24" s="16" t="s">
        <v>515</v>
      </c>
      <c r="D24" s="16"/>
      <c r="E24" s="17" t="s">
        <v>89</v>
      </c>
      <c r="F24" s="17" t="s">
        <v>347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516</v>
      </c>
      <c r="C25" s="16" t="s">
        <v>132</v>
      </c>
      <c r="D25" s="16"/>
      <c r="E25" s="17" t="s">
        <v>121</v>
      </c>
      <c r="F25" s="17" t="s">
        <v>534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517</v>
      </c>
      <c r="C26" s="16" t="s">
        <v>518</v>
      </c>
      <c r="D26" s="16"/>
      <c r="E26" s="17" t="s">
        <v>92</v>
      </c>
      <c r="F26" s="17" t="s">
        <v>531</v>
      </c>
      <c r="G26" s="17" t="s">
        <v>109</v>
      </c>
      <c r="H26" s="9" t="s">
        <v>30</v>
      </c>
      <c r="I26" s="1"/>
    </row>
    <row r="27" spans="1:9" ht="14" x14ac:dyDescent="0.3">
      <c r="A27" s="6">
        <v>8</v>
      </c>
      <c r="B27" s="15" t="s">
        <v>519</v>
      </c>
      <c r="C27" s="16" t="s">
        <v>481</v>
      </c>
      <c r="D27" s="16"/>
      <c r="E27" s="17" t="s">
        <v>89</v>
      </c>
      <c r="F27" s="17" t="s">
        <v>536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520</v>
      </c>
      <c r="C28" s="16" t="s">
        <v>521</v>
      </c>
      <c r="D28" s="16"/>
      <c r="E28" s="17" t="s">
        <v>121</v>
      </c>
      <c r="F28" s="17" t="s">
        <v>538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522</v>
      </c>
      <c r="C29" s="16" t="s">
        <v>523</v>
      </c>
      <c r="D29" s="16"/>
      <c r="E29" s="17" t="s">
        <v>90</v>
      </c>
      <c r="F29" s="17" t="s">
        <v>537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524</v>
      </c>
      <c r="C30" s="16" t="s">
        <v>525</v>
      </c>
      <c r="D30" s="16"/>
      <c r="E30" s="17" t="s">
        <v>92</v>
      </c>
      <c r="F30" s="17" t="s">
        <v>530</v>
      </c>
      <c r="G30" s="17" t="s">
        <v>109</v>
      </c>
      <c r="H30" s="9" t="s">
        <v>34</v>
      </c>
      <c r="I30" s="1"/>
    </row>
    <row r="31" spans="1:9" ht="14" x14ac:dyDescent="0.3">
      <c r="A31" s="6">
        <v>12</v>
      </c>
      <c r="B31" s="15" t="s">
        <v>526</v>
      </c>
      <c r="C31" s="16" t="s">
        <v>527</v>
      </c>
      <c r="D31" s="16"/>
      <c r="E31" s="17" t="s">
        <v>89</v>
      </c>
      <c r="F31" s="17" t="s">
        <v>539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218</v>
      </c>
      <c r="C32" s="16" t="s">
        <v>528</v>
      </c>
      <c r="D32" s="16"/>
      <c r="E32" s="17" t="s">
        <v>121</v>
      </c>
      <c r="F32" s="17" t="s">
        <v>535</v>
      </c>
      <c r="G32" s="17"/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="60" zoomScaleNormal="60" workbookViewId="0">
      <selection activeCell="F34" sqref="F34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61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10392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4963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4061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902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0.47757890685142418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17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567</v>
      </c>
      <c r="C20" s="13" t="s">
        <v>162</v>
      </c>
      <c r="D20" s="13"/>
      <c r="E20" s="14" t="s">
        <v>90</v>
      </c>
      <c r="F20" s="14" t="s">
        <v>568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540</v>
      </c>
      <c r="C21" s="16" t="s">
        <v>294</v>
      </c>
      <c r="D21" s="16"/>
      <c r="E21" s="17" t="s">
        <v>270</v>
      </c>
      <c r="F21" s="17" t="s">
        <v>562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541</v>
      </c>
      <c r="C22" s="16" t="s">
        <v>542</v>
      </c>
      <c r="D22" s="16"/>
      <c r="E22" s="17" t="s">
        <v>270</v>
      </c>
      <c r="F22" s="17" t="s">
        <v>559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543</v>
      </c>
      <c r="C23" s="16" t="s">
        <v>76</v>
      </c>
      <c r="D23" s="16"/>
      <c r="E23" s="17" t="s">
        <v>89</v>
      </c>
      <c r="F23" s="17" t="s">
        <v>566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544</v>
      </c>
      <c r="C24" s="16" t="s">
        <v>545</v>
      </c>
      <c r="D24" s="16"/>
      <c r="E24" s="17" t="s">
        <v>89</v>
      </c>
      <c r="F24" s="17" t="s">
        <v>565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546</v>
      </c>
      <c r="C25" s="16" t="s">
        <v>547</v>
      </c>
      <c r="D25" s="16"/>
      <c r="E25" s="17" t="s">
        <v>92</v>
      </c>
      <c r="F25" s="17" t="s">
        <v>564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548</v>
      </c>
      <c r="C26" s="16" t="s">
        <v>213</v>
      </c>
      <c r="D26" s="16"/>
      <c r="E26" s="17" t="s">
        <v>92</v>
      </c>
      <c r="F26" s="17" t="s">
        <v>563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549</v>
      </c>
      <c r="C27" s="16" t="s">
        <v>550</v>
      </c>
      <c r="D27" s="16"/>
      <c r="E27" s="17" t="s">
        <v>90</v>
      </c>
      <c r="F27" s="17" t="s">
        <v>569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551</v>
      </c>
      <c r="C28" s="16" t="s">
        <v>209</v>
      </c>
      <c r="D28" s="16"/>
      <c r="E28" s="17" t="s">
        <v>89</v>
      </c>
      <c r="F28" s="17" t="s">
        <v>99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552</v>
      </c>
      <c r="C29" s="16" t="s">
        <v>76</v>
      </c>
      <c r="D29" s="16"/>
      <c r="E29" s="17" t="s">
        <v>270</v>
      </c>
      <c r="F29" s="17" t="s">
        <v>561</v>
      </c>
      <c r="G29" s="17" t="s">
        <v>109</v>
      </c>
      <c r="H29" s="9" t="s">
        <v>33</v>
      </c>
      <c r="I29" s="1"/>
    </row>
    <row r="30" spans="1:9" ht="14" x14ac:dyDescent="0.3">
      <c r="A30" s="6">
        <v>11</v>
      </c>
      <c r="B30" s="15" t="s">
        <v>553</v>
      </c>
      <c r="C30" s="16" t="s">
        <v>554</v>
      </c>
      <c r="D30" s="16"/>
      <c r="E30" s="17" t="s">
        <v>92</v>
      </c>
      <c r="F30" s="17" t="s">
        <v>560</v>
      </c>
      <c r="G30" s="17" t="s">
        <v>109</v>
      </c>
      <c r="H30" s="9" t="s">
        <v>34</v>
      </c>
      <c r="I30" s="1"/>
    </row>
    <row r="31" spans="1:9" ht="14" x14ac:dyDescent="0.3">
      <c r="A31" s="6">
        <v>12</v>
      </c>
      <c r="B31" s="15" t="s">
        <v>555</v>
      </c>
      <c r="C31" s="16" t="s">
        <v>556</v>
      </c>
      <c r="D31" s="16"/>
      <c r="E31" s="17" t="s">
        <v>121</v>
      </c>
      <c r="F31" s="17" t="s">
        <v>570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192</v>
      </c>
      <c r="C32" s="16" t="s">
        <v>211</v>
      </c>
      <c r="D32" s="16"/>
      <c r="E32" s="17" t="s">
        <v>121</v>
      </c>
      <c r="F32" s="17" t="s">
        <v>571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557</v>
      </c>
      <c r="C33" s="16" t="s">
        <v>558</v>
      </c>
      <c r="D33" s="16"/>
      <c r="E33" s="17" t="s">
        <v>121</v>
      </c>
      <c r="F33" s="17" t="s">
        <v>572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topLeftCell="A2" zoomScale="59" zoomScaleNormal="100" workbookViewId="0">
      <selection activeCell="F22" sqref="F2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62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5739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2202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1782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420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0.38369053842132778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9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573</v>
      </c>
      <c r="C20" s="13" t="s">
        <v>574</v>
      </c>
      <c r="D20" s="13"/>
      <c r="E20" s="14" t="s">
        <v>92</v>
      </c>
      <c r="F20" s="14" t="s">
        <v>593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575</v>
      </c>
      <c r="C21" s="16" t="s">
        <v>278</v>
      </c>
      <c r="D21" s="16"/>
      <c r="E21" s="17" t="s">
        <v>576</v>
      </c>
      <c r="F21" s="17" t="s">
        <v>601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577</v>
      </c>
      <c r="C22" s="16" t="s">
        <v>578</v>
      </c>
      <c r="D22" s="16"/>
      <c r="E22" s="17" t="s">
        <v>121</v>
      </c>
      <c r="F22" s="17" t="s">
        <v>597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579</v>
      </c>
      <c r="C23" s="16" t="s">
        <v>580</v>
      </c>
      <c r="D23" s="16"/>
      <c r="E23" s="17" t="s">
        <v>89</v>
      </c>
      <c r="F23" s="17" t="s">
        <v>598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581</v>
      </c>
      <c r="C24" s="16" t="s">
        <v>582</v>
      </c>
      <c r="D24" s="16"/>
      <c r="E24" s="17" t="s">
        <v>90</v>
      </c>
      <c r="F24" s="17" t="s">
        <v>596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583</v>
      </c>
      <c r="C25" s="16" t="s">
        <v>584</v>
      </c>
      <c r="D25" s="16"/>
      <c r="E25" s="17" t="s">
        <v>207</v>
      </c>
      <c r="F25" s="17" t="s">
        <v>594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585</v>
      </c>
      <c r="C26" s="16" t="s">
        <v>286</v>
      </c>
      <c r="D26" s="16"/>
      <c r="E26" s="17" t="s">
        <v>92</v>
      </c>
      <c r="F26" s="17" t="s">
        <v>592</v>
      </c>
      <c r="G26" s="17" t="s">
        <v>109</v>
      </c>
      <c r="H26" s="9" t="s">
        <v>30</v>
      </c>
      <c r="I26" s="1"/>
    </row>
    <row r="27" spans="1:9" ht="14" x14ac:dyDescent="0.3">
      <c r="A27" s="6">
        <v>8</v>
      </c>
      <c r="B27" s="15" t="s">
        <v>586</v>
      </c>
      <c r="C27" s="16" t="s">
        <v>587</v>
      </c>
      <c r="D27" s="16"/>
      <c r="E27" s="17" t="s">
        <v>121</v>
      </c>
      <c r="F27" s="17" t="s">
        <v>433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588</v>
      </c>
      <c r="C28" s="16" t="s">
        <v>125</v>
      </c>
      <c r="D28" s="16"/>
      <c r="E28" s="17" t="s">
        <v>89</v>
      </c>
      <c r="F28" s="17" t="s">
        <v>599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589</v>
      </c>
      <c r="C29" s="16" t="s">
        <v>590</v>
      </c>
      <c r="D29" s="16"/>
      <c r="E29" s="17" t="s">
        <v>207</v>
      </c>
      <c r="F29" s="17" t="s">
        <v>595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591</v>
      </c>
      <c r="C30" s="16" t="s">
        <v>315</v>
      </c>
      <c r="D30" s="16"/>
      <c r="E30" s="17" t="s">
        <v>576</v>
      </c>
      <c r="F30" s="17" t="s">
        <v>600</v>
      </c>
      <c r="G30" s="17"/>
      <c r="H30" s="9" t="s">
        <v>34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topLeftCell="A4" zoomScale="60" zoomScaleNormal="60" workbookViewId="0">
      <selection activeCell="F22" sqref="F2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63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6614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2535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2075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460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0.38327789537345025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10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1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602</v>
      </c>
      <c r="C20" s="13" t="s">
        <v>603</v>
      </c>
      <c r="D20" s="13"/>
      <c r="E20" s="14" t="s">
        <v>90</v>
      </c>
      <c r="F20" s="14" t="s">
        <v>504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604</v>
      </c>
      <c r="C21" s="16" t="s">
        <v>164</v>
      </c>
      <c r="D21" s="16"/>
      <c r="E21" s="17" t="s">
        <v>605</v>
      </c>
      <c r="F21" s="17" t="s">
        <v>624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195</v>
      </c>
      <c r="C22" s="16" t="s">
        <v>96</v>
      </c>
      <c r="D22" s="16"/>
      <c r="E22" s="17" t="s">
        <v>89</v>
      </c>
      <c r="F22" s="17" t="s">
        <v>622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606</v>
      </c>
      <c r="C23" s="16" t="s">
        <v>288</v>
      </c>
      <c r="D23" s="16"/>
      <c r="E23" s="17" t="s">
        <v>270</v>
      </c>
      <c r="F23" s="17" t="s">
        <v>617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607</v>
      </c>
      <c r="C24" s="16" t="s">
        <v>608</v>
      </c>
      <c r="D24" s="16"/>
      <c r="E24" s="17" t="s">
        <v>92</v>
      </c>
      <c r="F24" s="17" t="s">
        <v>616</v>
      </c>
      <c r="G24" s="17" t="s">
        <v>109</v>
      </c>
      <c r="H24" s="9" t="s">
        <v>28</v>
      </c>
      <c r="I24" s="1"/>
    </row>
    <row r="25" spans="1:9" ht="14" x14ac:dyDescent="0.3">
      <c r="A25" s="6">
        <v>6</v>
      </c>
      <c r="B25" s="15" t="s">
        <v>609</v>
      </c>
      <c r="C25" s="16" t="s">
        <v>211</v>
      </c>
      <c r="D25" s="16"/>
      <c r="E25" s="17" t="s">
        <v>121</v>
      </c>
      <c r="F25" s="17" t="s">
        <v>621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136</v>
      </c>
      <c r="C26" s="16" t="s">
        <v>618</v>
      </c>
      <c r="D26" s="16"/>
      <c r="E26" s="17" t="s">
        <v>270</v>
      </c>
      <c r="F26" s="17" t="s">
        <v>619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610</v>
      </c>
      <c r="C27" s="16" t="s">
        <v>611</v>
      </c>
      <c r="D27" s="16"/>
      <c r="E27" s="17" t="s">
        <v>89</v>
      </c>
      <c r="F27" s="17" t="s">
        <v>623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612</v>
      </c>
      <c r="C28" s="16" t="s">
        <v>613</v>
      </c>
      <c r="D28" s="16"/>
      <c r="E28" s="17" t="s">
        <v>92</v>
      </c>
      <c r="F28" s="17" t="s">
        <v>615</v>
      </c>
      <c r="G28" s="17" t="s">
        <v>109</v>
      </c>
      <c r="H28" s="9" t="s">
        <v>32</v>
      </c>
      <c r="I28" s="1"/>
    </row>
    <row r="29" spans="1:9" ht="14" x14ac:dyDescent="0.3">
      <c r="A29" s="6">
        <v>10</v>
      </c>
      <c r="B29" s="15" t="s">
        <v>614</v>
      </c>
      <c r="C29" s="16" t="s">
        <v>111</v>
      </c>
      <c r="D29" s="16"/>
      <c r="E29" s="17" t="s">
        <v>121</v>
      </c>
      <c r="F29" s="17" t="s">
        <v>620</v>
      </c>
      <c r="G29" s="17"/>
      <c r="H29" s="9" t="s">
        <v>33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topLeftCell="A2" zoomScale="60" zoomScaleNormal="60" workbookViewId="0">
      <selection activeCell="F22" sqref="F2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64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13156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6189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5154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1035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0.47043174217087258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9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627</v>
      </c>
      <c r="C20" s="13" t="s">
        <v>626</v>
      </c>
      <c r="D20" s="13"/>
      <c r="E20" s="14" t="s">
        <v>90</v>
      </c>
      <c r="F20" s="14" t="s">
        <v>652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625</v>
      </c>
      <c r="C21" s="16" t="s">
        <v>628</v>
      </c>
      <c r="D21" s="16"/>
      <c r="E21" s="17" t="s">
        <v>605</v>
      </c>
      <c r="F21" s="17" t="s">
        <v>660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629</v>
      </c>
      <c r="C22" s="16" t="s">
        <v>630</v>
      </c>
      <c r="D22" s="16"/>
      <c r="E22" s="17" t="s">
        <v>92</v>
      </c>
      <c r="F22" s="17" t="s">
        <v>647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631</v>
      </c>
      <c r="C23" s="16" t="s">
        <v>518</v>
      </c>
      <c r="D23" s="16"/>
      <c r="E23" s="17" t="s">
        <v>121</v>
      </c>
      <c r="F23" s="17" t="s">
        <v>150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632</v>
      </c>
      <c r="C24" s="16" t="s">
        <v>241</v>
      </c>
      <c r="D24" s="16"/>
      <c r="E24" s="17" t="s">
        <v>89</v>
      </c>
      <c r="F24" s="17" t="s">
        <v>657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96</v>
      </c>
      <c r="C25" s="16" t="s">
        <v>130</v>
      </c>
      <c r="D25" s="16"/>
      <c r="E25" s="17" t="s">
        <v>89</v>
      </c>
      <c r="F25" s="17" t="s">
        <v>102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633</v>
      </c>
      <c r="C26" s="16" t="s">
        <v>94</v>
      </c>
      <c r="D26" s="16"/>
      <c r="E26" s="17" t="s">
        <v>90</v>
      </c>
      <c r="F26" s="17" t="s">
        <v>654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634</v>
      </c>
      <c r="C27" s="16" t="s">
        <v>285</v>
      </c>
      <c r="D27" s="16"/>
      <c r="E27" s="17" t="s">
        <v>92</v>
      </c>
      <c r="F27" s="17" t="s">
        <v>646</v>
      </c>
      <c r="G27" s="17" t="s">
        <v>109</v>
      </c>
      <c r="H27" s="9" t="s">
        <v>31</v>
      </c>
      <c r="I27" s="1"/>
    </row>
    <row r="28" spans="1:9" ht="14" x14ac:dyDescent="0.3">
      <c r="A28" s="6">
        <v>9</v>
      </c>
      <c r="B28" s="15" t="s">
        <v>635</v>
      </c>
      <c r="C28" s="16" t="s">
        <v>628</v>
      </c>
      <c r="D28" s="16"/>
      <c r="E28" s="17" t="s">
        <v>89</v>
      </c>
      <c r="F28" s="17" t="s">
        <v>657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407</v>
      </c>
      <c r="C29" s="16" t="s">
        <v>94</v>
      </c>
      <c r="D29" s="16"/>
      <c r="E29" s="17" t="s">
        <v>270</v>
      </c>
      <c r="F29" s="17" t="s">
        <v>651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93</v>
      </c>
      <c r="C30" s="16" t="s">
        <v>636</v>
      </c>
      <c r="D30" s="16"/>
      <c r="E30" s="17" t="s">
        <v>90</v>
      </c>
      <c r="F30" s="17" t="s">
        <v>655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637</v>
      </c>
      <c r="C31" s="16" t="s">
        <v>638</v>
      </c>
      <c r="D31" s="16"/>
      <c r="E31" s="17" t="s">
        <v>92</v>
      </c>
      <c r="F31" s="17" t="s">
        <v>648</v>
      </c>
      <c r="G31" s="17" t="s">
        <v>109</v>
      </c>
      <c r="H31" s="9" t="s">
        <v>35</v>
      </c>
      <c r="I31" s="1"/>
    </row>
    <row r="32" spans="1:9" ht="14" x14ac:dyDescent="0.3">
      <c r="A32" s="6">
        <v>13</v>
      </c>
      <c r="B32" s="15" t="s">
        <v>589</v>
      </c>
      <c r="C32" s="16" t="s">
        <v>639</v>
      </c>
      <c r="D32" s="16"/>
      <c r="E32" s="17" t="s">
        <v>270</v>
      </c>
      <c r="F32" s="17" t="s">
        <v>650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640</v>
      </c>
      <c r="C33" s="16" t="s">
        <v>641</v>
      </c>
      <c r="D33" s="16"/>
      <c r="E33" s="17" t="s">
        <v>121</v>
      </c>
      <c r="F33" s="17" t="s">
        <v>659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642</v>
      </c>
      <c r="C34" s="16" t="s">
        <v>645</v>
      </c>
      <c r="D34" s="16"/>
      <c r="E34" s="17" t="s">
        <v>121</v>
      </c>
      <c r="F34" s="17" t="s">
        <v>656</v>
      </c>
      <c r="G34" s="17"/>
      <c r="H34" s="9" t="s">
        <v>38</v>
      </c>
      <c r="I34" s="1"/>
    </row>
    <row r="35" spans="1:9" ht="14" x14ac:dyDescent="0.3">
      <c r="A35" s="6">
        <v>16</v>
      </c>
      <c r="B35" s="15" t="s">
        <v>643</v>
      </c>
      <c r="C35" s="16" t="s">
        <v>644</v>
      </c>
      <c r="D35" s="16"/>
      <c r="E35" s="17" t="s">
        <v>270</v>
      </c>
      <c r="F35" s="17" t="s">
        <v>649</v>
      </c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zoomScale="60" zoomScaleNormal="60" workbookViewId="0">
      <selection activeCell="F21" sqref="F2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65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12232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5069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4070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999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0.414404839764552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17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235</v>
      </c>
      <c r="C20" s="13" t="s">
        <v>661</v>
      </c>
      <c r="D20" s="13"/>
      <c r="E20" s="14" t="s">
        <v>84</v>
      </c>
      <c r="F20" s="14" t="s">
        <v>684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662</v>
      </c>
      <c r="C21" s="16" t="s">
        <v>663</v>
      </c>
      <c r="D21" s="16"/>
      <c r="E21" s="17" t="s">
        <v>576</v>
      </c>
      <c r="F21" s="17" t="s">
        <v>692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664</v>
      </c>
      <c r="C22" s="16" t="s">
        <v>278</v>
      </c>
      <c r="D22" s="16"/>
      <c r="E22" s="17" t="s">
        <v>92</v>
      </c>
      <c r="F22" s="17" t="s">
        <v>682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665</v>
      </c>
      <c r="C23" s="16" t="s">
        <v>366</v>
      </c>
      <c r="D23" s="16"/>
      <c r="E23" s="17" t="s">
        <v>92</v>
      </c>
      <c r="F23" s="17" t="s">
        <v>681</v>
      </c>
      <c r="G23" s="17" t="s">
        <v>109</v>
      </c>
      <c r="H23" s="9" t="s">
        <v>27</v>
      </c>
      <c r="I23" s="1"/>
    </row>
    <row r="24" spans="1:9" ht="14" x14ac:dyDescent="0.3">
      <c r="A24" s="6">
        <v>5</v>
      </c>
      <c r="B24" s="15" t="s">
        <v>666</v>
      </c>
      <c r="C24" s="16" t="s">
        <v>667</v>
      </c>
      <c r="D24" s="16"/>
      <c r="E24" s="17" t="s">
        <v>89</v>
      </c>
      <c r="F24" s="17" t="s">
        <v>690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668</v>
      </c>
      <c r="C25" s="16" t="s">
        <v>669</v>
      </c>
      <c r="D25" s="16"/>
      <c r="E25" s="17" t="s">
        <v>121</v>
      </c>
      <c r="F25" s="17" t="s">
        <v>185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467</v>
      </c>
      <c r="C26" s="16" t="s">
        <v>670</v>
      </c>
      <c r="D26" s="16"/>
      <c r="E26" s="17" t="s">
        <v>89</v>
      </c>
      <c r="F26" s="17" t="s">
        <v>689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671</v>
      </c>
      <c r="C27" s="16" t="s">
        <v>672</v>
      </c>
      <c r="D27" s="16"/>
      <c r="E27" s="17" t="s">
        <v>121</v>
      </c>
      <c r="F27" s="17" t="s">
        <v>688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673</v>
      </c>
      <c r="C28" s="16" t="s">
        <v>294</v>
      </c>
      <c r="D28" s="16"/>
      <c r="E28" s="17" t="s">
        <v>89</v>
      </c>
      <c r="F28" s="17" t="s">
        <v>691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674</v>
      </c>
      <c r="C29" s="16" t="s">
        <v>94</v>
      </c>
      <c r="D29" s="16"/>
      <c r="E29" s="17" t="s">
        <v>84</v>
      </c>
      <c r="F29" s="17" t="s">
        <v>686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675</v>
      </c>
      <c r="C30" s="16" t="s">
        <v>236</v>
      </c>
      <c r="D30" s="16"/>
      <c r="E30" s="17" t="s">
        <v>90</v>
      </c>
      <c r="F30" s="17" t="s">
        <v>687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676</v>
      </c>
      <c r="C31" s="16" t="s">
        <v>677</v>
      </c>
      <c r="D31" s="16"/>
      <c r="E31" s="17" t="s">
        <v>121</v>
      </c>
      <c r="F31" s="17" t="s">
        <v>535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678</v>
      </c>
      <c r="C32" s="16" t="s">
        <v>679</v>
      </c>
      <c r="D32" s="16"/>
      <c r="E32" s="17" t="s">
        <v>84</v>
      </c>
      <c r="F32" s="17" t="s">
        <v>685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380</v>
      </c>
      <c r="C33" s="16" t="s">
        <v>680</v>
      </c>
      <c r="D33" s="16"/>
      <c r="E33" s="17" t="s">
        <v>92</v>
      </c>
      <c r="F33" s="17" t="s">
        <v>683</v>
      </c>
      <c r="G33" s="17" t="s">
        <v>109</v>
      </c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="60" zoomScaleNormal="60" workbookViewId="0">
      <selection activeCell="G23" sqref="G23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>
        <v>46149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66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12330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5259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4186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1073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0.42652068126520681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6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16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693</v>
      </c>
      <c r="C20" s="13" t="s">
        <v>694</v>
      </c>
      <c r="D20" s="13"/>
      <c r="E20" s="14" t="s">
        <v>92</v>
      </c>
      <c r="F20" s="14" t="s">
        <v>429</v>
      </c>
      <c r="G20" s="14" t="s">
        <v>109</v>
      </c>
      <c r="H20" s="9" t="s">
        <v>24</v>
      </c>
      <c r="I20" s="1"/>
    </row>
    <row r="21" spans="1:9" ht="14" x14ac:dyDescent="0.3">
      <c r="A21" s="6">
        <v>2</v>
      </c>
      <c r="B21" s="15" t="s">
        <v>695</v>
      </c>
      <c r="C21" s="16" t="s">
        <v>162</v>
      </c>
      <c r="D21" s="16"/>
      <c r="E21" s="17" t="s">
        <v>89</v>
      </c>
      <c r="F21" s="17" t="s">
        <v>722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696</v>
      </c>
      <c r="C22" s="16" t="s">
        <v>128</v>
      </c>
      <c r="D22" s="16"/>
      <c r="E22" s="17" t="s">
        <v>84</v>
      </c>
      <c r="F22" s="17" t="s">
        <v>715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697</v>
      </c>
      <c r="C23" s="16" t="s">
        <v>698</v>
      </c>
      <c r="D23" s="16"/>
      <c r="E23" s="17" t="s">
        <v>89</v>
      </c>
      <c r="F23" s="17" t="s">
        <v>723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699</v>
      </c>
      <c r="C24" s="16" t="s">
        <v>254</v>
      </c>
      <c r="D24" s="16"/>
      <c r="E24" s="17" t="s">
        <v>84</v>
      </c>
      <c r="F24" s="17" t="s">
        <v>716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700</v>
      </c>
      <c r="C25" s="16" t="s">
        <v>701</v>
      </c>
      <c r="D25" s="16"/>
      <c r="E25" s="17" t="s">
        <v>92</v>
      </c>
      <c r="F25" s="17" t="s">
        <v>658</v>
      </c>
      <c r="G25" s="17" t="s">
        <v>109</v>
      </c>
      <c r="H25" s="9" t="s">
        <v>29</v>
      </c>
      <c r="I25" s="1"/>
    </row>
    <row r="26" spans="1:9" ht="14" x14ac:dyDescent="0.3">
      <c r="A26" s="6">
        <v>7</v>
      </c>
      <c r="B26" s="15" t="s">
        <v>702</v>
      </c>
      <c r="C26" s="16" t="s">
        <v>703</v>
      </c>
      <c r="D26" s="16"/>
      <c r="E26" s="17" t="s">
        <v>121</v>
      </c>
      <c r="F26" s="17" t="s">
        <v>720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704</v>
      </c>
      <c r="C27" s="16" t="s">
        <v>550</v>
      </c>
      <c r="D27" s="16"/>
      <c r="E27" s="17" t="s">
        <v>84</v>
      </c>
      <c r="F27" s="17" t="s">
        <v>717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705</v>
      </c>
      <c r="C28" s="16" t="s">
        <v>706</v>
      </c>
      <c r="D28" s="16"/>
      <c r="E28" s="17" t="s">
        <v>92</v>
      </c>
      <c r="F28" s="17" t="s">
        <v>714</v>
      </c>
      <c r="G28" s="17" t="s">
        <v>109</v>
      </c>
      <c r="H28" s="9" t="s">
        <v>32</v>
      </c>
      <c r="I28" s="1"/>
    </row>
    <row r="29" spans="1:9" ht="14" x14ac:dyDescent="0.3">
      <c r="A29" s="6">
        <v>10</v>
      </c>
      <c r="B29" s="15" t="s">
        <v>707</v>
      </c>
      <c r="C29" s="16" t="s">
        <v>708</v>
      </c>
      <c r="D29" s="16"/>
      <c r="E29" s="17" t="s">
        <v>90</v>
      </c>
      <c r="F29" s="17" t="s">
        <v>718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709</v>
      </c>
      <c r="C30" s="16" t="s">
        <v>710</v>
      </c>
      <c r="D30" s="16"/>
      <c r="E30" s="17" t="s">
        <v>90</v>
      </c>
      <c r="F30" s="17" t="s">
        <v>653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134</v>
      </c>
      <c r="C31" s="16" t="s">
        <v>711</v>
      </c>
      <c r="D31" s="16"/>
      <c r="E31" s="17" t="s">
        <v>121</v>
      </c>
      <c r="F31" s="17" t="s">
        <v>719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642</v>
      </c>
      <c r="C32" s="16" t="s">
        <v>434</v>
      </c>
      <c r="D32" s="16"/>
      <c r="E32" s="17" t="s">
        <v>121</v>
      </c>
      <c r="F32" s="17" t="s">
        <v>431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712</v>
      </c>
      <c r="C33" s="16" t="s">
        <v>713</v>
      </c>
      <c r="D33" s="16"/>
      <c r="E33" s="17" t="s">
        <v>89</v>
      </c>
      <c r="F33" s="17" t="s">
        <v>721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tabSelected="1" zoomScale="60" zoomScaleNormal="60" workbookViewId="0">
      <selection activeCell="F24" sqref="F24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>
        <v>46149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67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12020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5482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4584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898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6">
        <f>G8/G7</f>
        <v>0.45607321131447587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14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724</v>
      </c>
      <c r="C20" s="13" t="s">
        <v>725</v>
      </c>
      <c r="D20" s="13"/>
      <c r="E20" s="14" t="s">
        <v>121</v>
      </c>
      <c r="F20" s="14" t="s">
        <v>752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724</v>
      </c>
      <c r="C21" s="16" t="s">
        <v>726</v>
      </c>
      <c r="D21" s="16"/>
      <c r="E21" s="17" t="s">
        <v>121</v>
      </c>
      <c r="F21" s="17" t="s">
        <v>753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727</v>
      </c>
      <c r="C22" s="16" t="s">
        <v>227</v>
      </c>
      <c r="D22" s="16"/>
      <c r="E22" s="17" t="s">
        <v>92</v>
      </c>
      <c r="F22" s="17" t="s">
        <v>743</v>
      </c>
      <c r="G22" s="17" t="s">
        <v>109</v>
      </c>
      <c r="H22" s="9" t="s">
        <v>26</v>
      </c>
      <c r="I22" s="1"/>
    </row>
    <row r="23" spans="1:9" ht="14" x14ac:dyDescent="0.3">
      <c r="A23" s="6">
        <v>4</v>
      </c>
      <c r="B23" s="15" t="s">
        <v>728</v>
      </c>
      <c r="C23" s="16" t="s">
        <v>484</v>
      </c>
      <c r="D23" s="16"/>
      <c r="E23" s="17" t="s">
        <v>605</v>
      </c>
      <c r="F23" s="17" t="s">
        <v>503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729</v>
      </c>
      <c r="C24" s="16" t="s">
        <v>326</v>
      </c>
      <c r="D24" s="16"/>
      <c r="E24" s="17" t="s">
        <v>207</v>
      </c>
      <c r="F24" s="17" t="s">
        <v>261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730</v>
      </c>
      <c r="C25" s="16" t="s">
        <v>731</v>
      </c>
      <c r="D25" s="16"/>
      <c r="E25" s="17" t="s">
        <v>89</v>
      </c>
      <c r="F25" s="17" t="s">
        <v>750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125</v>
      </c>
      <c r="C26" s="16" t="s">
        <v>732</v>
      </c>
      <c r="D26" s="16"/>
      <c r="E26" s="17" t="s">
        <v>89</v>
      </c>
      <c r="F26" s="17" t="s">
        <v>748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733</v>
      </c>
      <c r="C27" s="16" t="s">
        <v>734</v>
      </c>
      <c r="D27" s="16"/>
      <c r="E27" s="17" t="s">
        <v>121</v>
      </c>
      <c r="F27" s="17" t="s">
        <v>104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735</v>
      </c>
      <c r="C28" s="16" t="s">
        <v>736</v>
      </c>
      <c r="D28" s="16"/>
      <c r="E28" s="17" t="s">
        <v>92</v>
      </c>
      <c r="F28" s="17" t="s">
        <v>744</v>
      </c>
      <c r="G28" s="17" t="s">
        <v>109</v>
      </c>
      <c r="H28" s="9" t="s">
        <v>32</v>
      </c>
      <c r="I28" s="1"/>
    </row>
    <row r="29" spans="1:9" ht="14" x14ac:dyDescent="0.3">
      <c r="A29" s="6">
        <v>10</v>
      </c>
      <c r="B29" s="15" t="s">
        <v>737</v>
      </c>
      <c r="C29" s="16" t="s">
        <v>554</v>
      </c>
      <c r="D29" s="16"/>
      <c r="E29" s="17" t="s">
        <v>207</v>
      </c>
      <c r="F29" s="17" t="s">
        <v>746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738</v>
      </c>
      <c r="C30" s="16" t="s">
        <v>136</v>
      </c>
      <c r="D30" s="16"/>
      <c r="E30" s="17" t="s">
        <v>207</v>
      </c>
      <c r="F30" s="17" t="s">
        <v>747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739</v>
      </c>
      <c r="C31" s="16" t="s">
        <v>672</v>
      </c>
      <c r="D31" s="16"/>
      <c r="E31" s="17" t="s">
        <v>90</v>
      </c>
      <c r="F31" s="17" t="s">
        <v>749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740</v>
      </c>
      <c r="C32" s="16" t="s">
        <v>511</v>
      </c>
      <c r="D32" s="16"/>
      <c r="E32" s="17" t="s">
        <v>92</v>
      </c>
      <c r="F32" s="17" t="s">
        <v>745</v>
      </c>
      <c r="G32" s="17" t="s">
        <v>109</v>
      </c>
      <c r="H32" s="9" t="s">
        <v>36</v>
      </c>
      <c r="I32" s="1"/>
    </row>
    <row r="33" spans="1:9" ht="14" x14ac:dyDescent="0.3">
      <c r="A33" s="6">
        <v>14</v>
      </c>
      <c r="B33" s="15" t="s">
        <v>741</v>
      </c>
      <c r="C33" s="16" t="s">
        <v>133</v>
      </c>
      <c r="D33" s="16"/>
      <c r="E33" s="17" t="s">
        <v>89</v>
      </c>
      <c r="F33" s="17" t="s">
        <v>754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742</v>
      </c>
      <c r="C34" s="16" t="s">
        <v>196</v>
      </c>
      <c r="D34" s="16"/>
      <c r="E34" s="17" t="s">
        <v>90</v>
      </c>
      <c r="F34" s="17" t="s">
        <v>751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Bellingham</vt:lpstr>
      <vt:lpstr>Blackheath</vt:lpstr>
      <vt:lpstr>Brockley</vt:lpstr>
      <vt:lpstr>Catford South</vt:lpstr>
      <vt:lpstr>Crofton Park</vt:lpstr>
      <vt:lpstr>Deptford</vt:lpstr>
      <vt:lpstr>Downham</vt:lpstr>
      <vt:lpstr>Evelyn</vt:lpstr>
      <vt:lpstr>Forest Hill</vt:lpstr>
      <vt:lpstr>Grove Park</vt:lpstr>
      <vt:lpstr>Hither Green</vt:lpstr>
      <vt:lpstr>Ladywell</vt:lpstr>
      <vt:lpstr>Lee Green</vt:lpstr>
      <vt:lpstr>Lewisham Ce...</vt:lpstr>
      <vt:lpstr>New Cross Gate</vt:lpstr>
      <vt:lpstr>Perry Vale</vt:lpstr>
      <vt:lpstr>Rushey Green</vt:lpstr>
      <vt:lpstr>Sydenham</vt:lpstr>
      <vt:lpstr>Telegraph Hill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Gibb, Chailey</cp:lastModifiedBy>
  <cp:revision/>
  <dcterms:created xsi:type="dcterms:W3CDTF">2010-04-26T09:06:52Z</dcterms:created>
  <dcterms:modified xsi:type="dcterms:W3CDTF">2026-06-03T16:14:47Z</dcterms:modified>
  <cp:category/>
  <cp:contentStatus/>
</cp:coreProperties>
</file>