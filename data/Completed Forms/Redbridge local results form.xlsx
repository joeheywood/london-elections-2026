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ElReg\ELECTIONS\2026\Local Elections\Polling Day\"/>
    </mc:Choice>
  </mc:AlternateContent>
  <xr:revisionPtr revIDLastSave="0" documentId="13_ncr:1_{7F38A3C2-D0D5-4F24-BAC8-ECB5AC0C496C}" xr6:coauthVersionLast="47" xr6:coauthVersionMax="47" xr10:uidLastSave="{00000000-0000-0000-0000-000000000000}"/>
  <bookViews>
    <workbookView xWindow="-110" yWindow="-110" windowWidth="19420" windowHeight="10300" firstSheet="17" activeTab="21" xr2:uid="{00000000-000D-0000-FFFF-FFFF00000000}"/>
  </bookViews>
  <sheets>
    <sheet name="Aldborough" sheetId="5" r:id="rId1"/>
    <sheet name="Barkingside" sheetId="6" r:id="rId2"/>
    <sheet name="Bridge" sheetId="7" r:id="rId3"/>
    <sheet name="Chadwell" sheetId="8" r:id="rId4"/>
    <sheet name="Churchfields" sheetId="9" r:id="rId5"/>
    <sheet name="Clayhall" sheetId="10" r:id="rId6"/>
    <sheet name="Clementswood" sheetId="11" r:id="rId7"/>
    <sheet name="Cranbrook" sheetId="12" r:id="rId8"/>
    <sheet name="Fairlop" sheetId="13" r:id="rId9"/>
    <sheet name="Fullwell" sheetId="14" r:id="rId10"/>
    <sheet name="Goodmayes" sheetId="15" r:id="rId11"/>
    <sheet name="Hainault" sheetId="16" r:id="rId12"/>
    <sheet name="Ilford Town" sheetId="17" r:id="rId13"/>
    <sheet name="Loxford" sheetId="18" r:id="rId14"/>
    <sheet name="Mayfield" sheetId="19" r:id="rId15"/>
    <sheet name="Monkhams" sheetId="20" r:id="rId16"/>
    <sheet name="Newbury" sheetId="21" r:id="rId17"/>
    <sheet name="Seven Kings" sheetId="22" r:id="rId18"/>
    <sheet name="South Woodford" sheetId="23" r:id="rId19"/>
    <sheet name="Valentines" sheetId="24" r:id="rId20"/>
    <sheet name="Wanstead Park" sheetId="25" r:id="rId21"/>
    <sheet name="Wanstead Vi..." sheetId="26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6" l="1"/>
  <c r="G9" i="25"/>
  <c r="G9" i="24" l="1"/>
  <c r="G9" i="23"/>
  <c r="G9" i="22"/>
  <c r="G9" i="21"/>
  <c r="G9" i="20"/>
  <c r="G9" i="19"/>
  <c r="G9" i="18"/>
  <c r="G9" i="17"/>
  <c r="G9" i="16"/>
  <c r="G9" i="15"/>
  <c r="G9" i="14"/>
  <c r="G9" i="13"/>
  <c r="G9" i="12"/>
  <c r="G9" i="11"/>
  <c r="G9" i="10"/>
  <c r="G9" i="9"/>
  <c r="G9" i="8"/>
  <c r="G8" i="8" s="1"/>
  <c r="G9" i="7"/>
</calcChain>
</file>

<file path=xl/sharedStrings.xml><?xml version="1.0" encoding="utf-8"?>
<sst xmlns="http://schemas.openxmlformats.org/spreadsheetml/2006/main" count="2452" uniqueCount="932">
  <si>
    <t>Report of Election for the Greater London Authority</t>
  </si>
  <si>
    <t>Please fill in the form as completely as possible before returning to joe.heywood@london.gov.uk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</si>
  <si>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</si>
  <si>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</si>
  <si>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</si>
  <si>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</si>
  <si>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</si>
  <si>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</si>
  <si>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</si>
  <si>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</si>
  <si>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</si>
  <si>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</si>
  <si>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</si>
  <si>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</si>
  <si>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</si>
  <si>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</si>
  <si>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</si>
  <si>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</si>
  <si>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</si>
  <si>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</si>
  <si>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</si>
  <si>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</si>
  <si>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</si>
  <si>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</si>
  <si>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</si>
  <si>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</si>
  <si>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</si>
  <si>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</si>
  <si>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</si>
  <si>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</si>
  <si>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</si>
  <si>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</si>
  <si>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</si>
  <si>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</si>
  <si>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</si>
  <si>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</si>
  <si>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</si>
  <si>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</si>
  <si>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</si>
  <si>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</si>
  <si>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</si>
  <si>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</si>
  <si>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</si>
  <si>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</si>
  <si>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</si>
  <si>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>Redbridge</t>
  </si>
  <si>
    <t>7 May 2026</t>
  </si>
  <si>
    <t>Aldborough</t>
  </si>
  <si>
    <t>3</t>
  </si>
  <si>
    <t>Barkingside</t>
  </si>
  <si>
    <t>Bridge</t>
  </si>
  <si>
    <t>Chadwell</t>
  </si>
  <si>
    <t>Churchfields</t>
  </si>
  <si>
    <t>Clayhall</t>
  </si>
  <si>
    <t>Clementswood</t>
  </si>
  <si>
    <t>Cranbrook</t>
  </si>
  <si>
    <t>Fairlop</t>
  </si>
  <si>
    <t>Fullwell</t>
  </si>
  <si>
    <t>Goodmayes</t>
  </si>
  <si>
    <t>Hainault</t>
  </si>
  <si>
    <t>Ilford Town</t>
  </si>
  <si>
    <t>2</t>
  </si>
  <si>
    <t>Loxford</t>
  </si>
  <si>
    <t>Mayfield</t>
  </si>
  <si>
    <t>Monkhams</t>
  </si>
  <si>
    <t>Newbury</t>
  </si>
  <si>
    <t>Seven Kings</t>
  </si>
  <si>
    <t>South Woodford</t>
  </si>
  <si>
    <t>Valentines</t>
  </si>
  <si>
    <t>Wanstead Park</t>
  </si>
  <si>
    <t>Wanstead Village</t>
  </si>
  <si>
    <t>Zahrah</t>
  </si>
  <si>
    <t>Joshua Cardel</t>
  </si>
  <si>
    <t>Ian</t>
  </si>
  <si>
    <t>Gwyneth</t>
  </si>
  <si>
    <t>Andrew George</t>
  </si>
  <si>
    <t>Jyotsna Rahman</t>
  </si>
  <si>
    <t>Janum</t>
  </si>
  <si>
    <t>Alison</t>
  </si>
  <si>
    <t>Sara</t>
  </si>
  <si>
    <t>Naresh</t>
  </si>
  <si>
    <t>Rahul</t>
  </si>
  <si>
    <t>Shahana</t>
  </si>
  <si>
    <t>Lebo</t>
  </si>
  <si>
    <t>Kam</t>
  </si>
  <si>
    <t>Dhenesh</t>
  </si>
  <si>
    <t>Savita</t>
  </si>
  <si>
    <t>Omer</t>
  </si>
  <si>
    <t>Rosemary</t>
  </si>
  <si>
    <t>Alison Sarah</t>
  </si>
  <si>
    <t>AWALEH</t>
  </si>
  <si>
    <t>BRIDGEMAN-CARTY</t>
  </si>
  <si>
    <t>CASWELL</t>
  </si>
  <si>
    <t>DEAKINS</t>
  </si>
  <si>
    <t>ERACLEOUS</t>
  </si>
  <si>
    <t>ISLAM</t>
  </si>
  <si>
    <t>JANUM</t>
  </si>
  <si>
    <t>JAY</t>
  </si>
  <si>
    <t>KASSAM</t>
  </si>
  <si>
    <t>MACHERLA</t>
  </si>
  <si>
    <t>MAHAJAN</t>
  </si>
  <si>
    <t>MASHRUR</t>
  </si>
  <si>
    <t>PHAKOE</t>
  </si>
  <si>
    <t>RAI</t>
  </si>
  <si>
    <t>RAMANATHAN</t>
  </si>
  <si>
    <t>SHARMA</t>
  </si>
  <si>
    <t>SOHAIL</t>
  </si>
  <si>
    <t>THOMAS</t>
  </si>
  <si>
    <t>WOOD</t>
  </si>
  <si>
    <t>Female</t>
  </si>
  <si>
    <t>femail</t>
  </si>
  <si>
    <t>female</t>
  </si>
  <si>
    <t>Redbridge Independents</t>
  </si>
  <si>
    <t>Local Conservatives</t>
  </si>
  <si>
    <t>Liberal Democrats</t>
  </si>
  <si>
    <t>Labour Party</t>
  </si>
  <si>
    <t>Reform UK</t>
  </si>
  <si>
    <t xml:space="preserve">Green Party </t>
  </si>
  <si>
    <t>Independent</t>
  </si>
  <si>
    <t>X</t>
  </si>
  <si>
    <t>AGRAWAL, Vinod Kumar</t>
  </si>
  <si>
    <t>AHMED, Vaseem</t>
  </si>
  <si>
    <t>ASEEB, Samine</t>
  </si>
  <si>
    <t>BAL, Harminder Singh</t>
  </si>
  <si>
    <t>BATEY, Steven</t>
  </si>
  <si>
    <t>BHATTI, Riaz Mahmood</t>
  </si>
  <si>
    <t>CLARE, John Richard</t>
  </si>
  <si>
    <t>FERDAUSE PASHA, Syeda</t>
  </si>
  <si>
    <t>KHAN, Ihsan</t>
  </si>
  <si>
    <t>KOKKONDA, Vishwanath</t>
  </si>
  <si>
    <t>MUTHUSAMY, Saravanan</t>
  </si>
  <si>
    <t>SACHS, Martin</t>
  </si>
  <si>
    <t>THAMBIPILLAI, W Thomas</t>
  </si>
  <si>
    <t>Vaseem</t>
  </si>
  <si>
    <t>Samine</t>
  </si>
  <si>
    <t>Steven</t>
  </si>
  <si>
    <t>Syeda</t>
  </si>
  <si>
    <t>Ihsan</t>
  </si>
  <si>
    <t>Vinod Kumar</t>
  </si>
  <si>
    <t>Harminder Singh</t>
  </si>
  <si>
    <t>Riaz Mahmood</t>
  </si>
  <si>
    <t>John Richard</t>
  </si>
  <si>
    <t>Vishwanath</t>
  </si>
  <si>
    <t>Saravana</t>
  </si>
  <si>
    <t>Martin</t>
  </si>
  <si>
    <t>W Thomas</t>
  </si>
  <si>
    <t>1145</t>
  </si>
  <si>
    <t>Stephen</t>
  </si>
  <si>
    <t>Misba</t>
  </si>
  <si>
    <t>Richard Ernest</t>
  </si>
  <si>
    <t>Gurdial Singh</t>
  </si>
  <si>
    <t>Jesmin</t>
  </si>
  <si>
    <t>Rachel</t>
  </si>
  <si>
    <t>Adam</t>
  </si>
  <si>
    <t>Thomas</t>
  </si>
  <si>
    <t>Joe Iain</t>
  </si>
  <si>
    <t>Josiah</t>
  </si>
  <si>
    <t>Dilip</t>
  </si>
  <si>
    <t>Stuart David</t>
  </si>
  <si>
    <t>Rakesh</t>
  </si>
  <si>
    <t xml:space="preserve">ADAMS, </t>
  </si>
  <si>
    <t xml:space="preserve">AHMED, </t>
  </si>
  <si>
    <t xml:space="preserve">ANDREWS, </t>
  </si>
  <si>
    <t xml:space="preserve">BHAMRA, </t>
  </si>
  <si>
    <t xml:space="preserve">CHOWDHURY, </t>
  </si>
  <si>
    <t xml:space="preserve">COLLINSON, </t>
  </si>
  <si>
    <t xml:space="preserve">JOINER, </t>
  </si>
  <si>
    <t xml:space="preserve">JOSE, </t>
  </si>
  <si>
    <t>MCINTOSH,</t>
  </si>
  <si>
    <t>MOSELEY,</t>
  </si>
  <si>
    <t xml:space="preserve">PADIPURAKALATHI, </t>
  </si>
  <si>
    <t xml:space="preserve">SHULTON, </t>
  </si>
  <si>
    <t xml:space="preserve">VASIS, </t>
  </si>
  <si>
    <t>Conservative Party</t>
  </si>
  <si>
    <t>Green Party</t>
  </si>
  <si>
    <t>1475</t>
  </si>
  <si>
    <t>842</t>
  </si>
  <si>
    <t>844</t>
  </si>
  <si>
    <t>861</t>
  </si>
  <si>
    <t>941</t>
  </si>
  <si>
    <t>937</t>
  </si>
  <si>
    <t>951</t>
  </si>
  <si>
    <t>1302</t>
  </si>
  <si>
    <t>1053</t>
  </si>
  <si>
    <t>805</t>
  </si>
  <si>
    <t>1182</t>
  </si>
  <si>
    <t>191</t>
  </si>
  <si>
    <t>1068</t>
  </si>
  <si>
    <t>905</t>
  </si>
  <si>
    <t>Redbridge Matters</t>
  </si>
  <si>
    <t>Muhammad Touseef</t>
  </si>
  <si>
    <t>Waz</t>
  </si>
  <si>
    <t>Niamh Victoria</t>
  </si>
  <si>
    <t>Shirley</t>
  </si>
  <si>
    <t>Arakoth Ahmed</t>
  </si>
  <si>
    <t>Bert Alexander</t>
  </si>
  <si>
    <t>Monis</t>
  </si>
  <si>
    <t>Aba</t>
  </si>
  <si>
    <t>Muhammad Abdul Hakim</t>
  </si>
  <si>
    <t>Ahmed</t>
  </si>
  <si>
    <t xml:space="preserve">AFZAL, </t>
  </si>
  <si>
    <t>Shamina</t>
  </si>
  <si>
    <t xml:space="preserve">AKRAM, </t>
  </si>
  <si>
    <t xml:space="preserve">AKTAR, </t>
  </si>
  <si>
    <t xml:space="preserve">ATKINS, </t>
  </si>
  <si>
    <t xml:space="preserve">BAAH-MENSAH, </t>
  </si>
  <si>
    <t xml:space="preserve">JONES, </t>
  </si>
  <si>
    <t>KHAN,</t>
  </si>
  <si>
    <t>Prince Nnaemeka</t>
  </si>
  <si>
    <t>Sagal Abshir</t>
  </si>
  <si>
    <t>Maximillian</t>
  </si>
  <si>
    <t>Luthfa</t>
  </si>
  <si>
    <t>Syed Eyamen</t>
  </si>
  <si>
    <t xml:space="preserve">KRISTILOLU, </t>
  </si>
  <si>
    <t xml:space="preserve">LAYEK, </t>
  </si>
  <si>
    <t xml:space="preserve">MARUF, </t>
  </si>
  <si>
    <t xml:space="preserve">NWANKWO, </t>
  </si>
  <si>
    <t xml:space="preserve">OSMAN, </t>
  </si>
  <si>
    <t>PHOENIX,</t>
  </si>
  <si>
    <t xml:space="preserve">RAHMAN, </t>
  </si>
  <si>
    <t xml:space="preserve">SIDDIQI, </t>
  </si>
  <si>
    <t xml:space="preserve">STRAIGHT, </t>
  </si>
  <si>
    <t>Gary Peter</t>
  </si>
  <si>
    <t xml:space="preserve">VIJH, </t>
  </si>
  <si>
    <t>Sanjay Kumar</t>
  </si>
  <si>
    <t>1060</t>
  </si>
  <si>
    <t>546</t>
  </si>
  <si>
    <t>301</t>
  </si>
  <si>
    <t>946</t>
  </si>
  <si>
    <t>601</t>
  </si>
  <si>
    <t>885</t>
  </si>
  <si>
    <t>486</t>
  </si>
  <si>
    <t>709</t>
  </si>
  <si>
    <t>1171</t>
  </si>
  <si>
    <t>900</t>
  </si>
  <si>
    <t>267</t>
  </si>
  <si>
    <t>800</t>
  </si>
  <si>
    <t>135</t>
  </si>
  <si>
    <t>916</t>
  </si>
  <si>
    <t>792</t>
  </si>
  <si>
    <t>723</t>
  </si>
  <si>
    <t>369</t>
  </si>
  <si>
    <t>586</t>
  </si>
  <si>
    <t>686</t>
  </si>
  <si>
    <t>1086</t>
  </si>
  <si>
    <t>1586</t>
  </si>
  <si>
    <t>CUTHBERT,</t>
  </si>
  <si>
    <t xml:space="preserve"> Nicola</t>
  </si>
  <si>
    <t xml:space="preserve">DUDDRIDGE, </t>
  </si>
  <si>
    <t>Lloyd Jacob</t>
  </si>
  <si>
    <t xml:space="preserve">GARFIELD, </t>
  </si>
  <si>
    <t>Judith Anne Naomi</t>
  </si>
  <si>
    <t xml:space="preserve">GHOSE, </t>
  </si>
  <si>
    <t>Jillian</t>
  </si>
  <si>
    <t xml:space="preserve">GORMAN, </t>
  </si>
  <si>
    <t>Chrissie</t>
  </si>
  <si>
    <t xml:space="preserve">HASSAN, </t>
  </si>
  <si>
    <t>Zohair</t>
  </si>
  <si>
    <t>LIDDLE,</t>
  </si>
  <si>
    <t xml:space="preserve"> Heather</t>
  </si>
  <si>
    <t xml:space="preserve">LONG, </t>
  </si>
  <si>
    <t>John</t>
  </si>
  <si>
    <t>MAHLI,</t>
  </si>
  <si>
    <t xml:space="preserve"> Rita</t>
  </si>
  <si>
    <t xml:space="preserve">MANSFIELD WILLIAMS, </t>
  </si>
  <si>
    <t>Guy Owen</t>
  </si>
  <si>
    <t xml:space="preserve">QUARESMA-CABRAL, </t>
  </si>
  <si>
    <t>Samantha</t>
  </si>
  <si>
    <t xml:space="preserve">ROSNER, </t>
  </si>
  <si>
    <t>Martin Ian</t>
  </si>
  <si>
    <t xml:space="preserve">TEAHAN, </t>
  </si>
  <si>
    <t>Michael Helmut</t>
  </si>
  <si>
    <t xml:space="preserve">WATSON, </t>
  </si>
  <si>
    <t>Helen</t>
  </si>
  <si>
    <t xml:space="preserve">WILSON, </t>
  </si>
  <si>
    <t>Alex</t>
  </si>
  <si>
    <t>feamle</t>
  </si>
  <si>
    <t>1004</t>
  </si>
  <si>
    <t>1808</t>
  </si>
  <si>
    <t>1664</t>
  </si>
  <si>
    <t>1143</t>
  </si>
  <si>
    <t>1173</t>
  </si>
  <si>
    <t>1072</t>
  </si>
  <si>
    <t>938</t>
  </si>
  <si>
    <t>426</t>
  </si>
  <si>
    <t>939</t>
  </si>
  <si>
    <t>1597</t>
  </si>
  <si>
    <t>379</t>
  </si>
  <si>
    <t>304</t>
  </si>
  <si>
    <t>1141</t>
  </si>
  <si>
    <t>908</t>
  </si>
  <si>
    <t xml:space="preserve">BHARDWAJ, </t>
  </si>
  <si>
    <t>Krishen</t>
  </si>
  <si>
    <t>BOON,</t>
  </si>
  <si>
    <t xml:space="preserve"> Lily Jean Metcalfe</t>
  </si>
  <si>
    <t xml:space="preserve">BOSE, </t>
  </si>
  <si>
    <t>Kalpana</t>
  </si>
  <si>
    <t xml:space="preserve">BRODIE, </t>
  </si>
  <si>
    <t>John Andrew</t>
  </si>
  <si>
    <t xml:space="preserve">DUTTA, </t>
  </si>
  <si>
    <t>Mikki</t>
  </si>
  <si>
    <t xml:space="preserve">GUPTA, </t>
  </si>
  <si>
    <t>Vinil Kumar</t>
  </si>
  <si>
    <t xml:space="preserve">HEINS, </t>
  </si>
  <si>
    <t>Richard Martin</t>
  </si>
  <si>
    <t>HOLDER,</t>
  </si>
  <si>
    <t xml:space="preserve"> Ashburn</t>
  </si>
  <si>
    <t xml:space="preserve">KHAN, </t>
  </si>
  <si>
    <t>Obaidul</t>
  </si>
  <si>
    <t xml:space="preserve">MAHMUD, </t>
  </si>
  <si>
    <t>Kabir</t>
  </si>
  <si>
    <t xml:space="preserve">PACKER, </t>
  </si>
  <si>
    <t>Karen</t>
  </si>
  <si>
    <t xml:space="preserve">QURESHI, </t>
  </si>
  <si>
    <t>Kamal Hussain</t>
  </si>
  <si>
    <t>RAHMAN,</t>
  </si>
  <si>
    <t xml:space="preserve">SERVINI, </t>
  </si>
  <si>
    <t>Natascia Paola</t>
  </si>
  <si>
    <t>Mohammed Abdus</t>
  </si>
  <si>
    <t>Azizur</t>
  </si>
  <si>
    <t>SHAHID,</t>
  </si>
  <si>
    <t>Kathleen Patricia</t>
  </si>
  <si>
    <t xml:space="preserve">UDDIN, </t>
  </si>
  <si>
    <t>Jamal</t>
  </si>
  <si>
    <t>WINSTON,</t>
  </si>
  <si>
    <t xml:space="preserve"> Joel</t>
  </si>
  <si>
    <t>867</t>
  </si>
  <si>
    <t>864</t>
  </si>
  <si>
    <t>1527</t>
  </si>
  <si>
    <t>457</t>
  </si>
  <si>
    <t>429</t>
  </si>
  <si>
    <t>923</t>
  </si>
  <si>
    <t>396</t>
  </si>
  <si>
    <t>573</t>
  </si>
  <si>
    <t>596</t>
  </si>
  <si>
    <t>743</t>
  </si>
  <si>
    <t>1284</t>
  </si>
  <si>
    <t>850</t>
  </si>
  <si>
    <t>140</t>
  </si>
  <si>
    <t>465</t>
  </si>
  <si>
    <t>153</t>
  </si>
  <si>
    <t>1359</t>
  </si>
  <si>
    <t>155</t>
  </si>
  <si>
    <t>AFROJA,</t>
  </si>
  <si>
    <t xml:space="preserve">ALI, </t>
  </si>
  <si>
    <t>Zain</t>
  </si>
  <si>
    <t xml:space="preserve">CHAUBEY, </t>
  </si>
  <si>
    <t>Ritu</t>
  </si>
  <si>
    <t xml:space="preserve">COLLINS, </t>
  </si>
  <si>
    <t>Finlay</t>
  </si>
  <si>
    <t xml:space="preserve">DUBE, </t>
  </si>
  <si>
    <t>Sarika</t>
  </si>
  <si>
    <t xml:space="preserve">HAQUE, </t>
  </si>
  <si>
    <t>Fazlul</t>
  </si>
  <si>
    <t xml:space="preserve">HUSSAIN, </t>
  </si>
  <si>
    <t>Zulfiqar</t>
  </si>
  <si>
    <t xml:space="preserve">JAFAR, </t>
  </si>
  <si>
    <t>Abdurahman Akhtar</t>
  </si>
  <si>
    <t xml:space="preserve">JAVED, </t>
  </si>
  <si>
    <t>Muhammed</t>
  </si>
  <si>
    <t xml:space="preserve">MUGHAL, </t>
  </si>
  <si>
    <t>Muhammad Arif</t>
  </si>
  <si>
    <t xml:space="preserve">PINKI, </t>
  </si>
  <si>
    <t>Tanaka Nasrin</t>
  </si>
  <si>
    <t xml:space="preserve">RASHID, </t>
  </si>
  <si>
    <t>Taifur</t>
  </si>
  <si>
    <t xml:space="preserve">ROOVERS, </t>
  </si>
  <si>
    <t>Peter</t>
  </si>
  <si>
    <t xml:space="preserve">SAEED, </t>
  </si>
  <si>
    <t>Saheena</t>
  </si>
  <si>
    <t xml:space="preserve">VERMA, </t>
  </si>
  <si>
    <t>Deepika</t>
  </si>
  <si>
    <t>Farjana</t>
  </si>
  <si>
    <t>435</t>
  </si>
  <si>
    <t>641</t>
  </si>
  <si>
    <t>522</t>
  </si>
  <si>
    <t>148</t>
  </si>
  <si>
    <t>915</t>
  </si>
  <si>
    <t>1037</t>
  </si>
  <si>
    <t>510</t>
  </si>
  <si>
    <t>910</t>
  </si>
  <si>
    <t>787</t>
  </si>
  <si>
    <t>1065</t>
  </si>
  <si>
    <t>718</t>
  </si>
  <si>
    <t>476</t>
  </si>
  <si>
    <t>218</t>
  </si>
  <si>
    <t>533</t>
  </si>
  <si>
    <t>527</t>
  </si>
  <si>
    <t>Chaudhary Mushtaq</t>
  </si>
  <si>
    <t>ASIF,</t>
  </si>
  <si>
    <t xml:space="preserve">HALEEMDEEN, </t>
  </si>
  <si>
    <t>Mohamed Shukry</t>
  </si>
  <si>
    <t>Feza</t>
  </si>
  <si>
    <t xml:space="preserve">ISLAM, </t>
  </si>
  <si>
    <t>Syed Shikul</t>
  </si>
  <si>
    <t>JACOB,</t>
  </si>
  <si>
    <t>Grace Angelin</t>
  </si>
  <si>
    <t xml:space="preserve">JAMIL, </t>
  </si>
  <si>
    <t>Saira Yasar</t>
  </si>
  <si>
    <t xml:space="preserve">KRAFT, </t>
  </si>
  <si>
    <t xml:space="preserve">LIMBEEA, </t>
  </si>
  <si>
    <t>Vissen</t>
  </si>
  <si>
    <t>MACCARI,</t>
  </si>
  <si>
    <t>Nicole</t>
  </si>
  <si>
    <t xml:space="preserve">NOOR, </t>
  </si>
  <si>
    <t>Tahreem</t>
  </si>
  <si>
    <t>PAHL,</t>
  </si>
  <si>
    <t>Surinder</t>
  </si>
  <si>
    <t xml:space="preserve">SIRIPURAPU, </t>
  </si>
  <si>
    <t>Rambabu</t>
  </si>
  <si>
    <t xml:space="preserve">STEEL, </t>
  </si>
  <si>
    <t>Patricia Fay</t>
  </si>
  <si>
    <t>Chiranjeev</t>
  </si>
  <si>
    <t>Mohammed</t>
  </si>
  <si>
    <t xml:space="preserve">BANDARU, </t>
  </si>
  <si>
    <t>Madhuri</t>
  </si>
  <si>
    <t xml:space="preserve">BOWTELL, </t>
  </si>
  <si>
    <t>Gavin</t>
  </si>
  <si>
    <t>CHATTAWAY,</t>
  </si>
  <si>
    <t xml:space="preserve"> Bob</t>
  </si>
  <si>
    <t xml:space="preserve">DAVIES, </t>
  </si>
  <si>
    <t>Catherine Margaret</t>
  </si>
  <si>
    <t>DODA,</t>
  </si>
  <si>
    <t xml:space="preserve"> Erza</t>
  </si>
  <si>
    <t xml:space="preserve">FIRMSTONE, </t>
  </si>
  <si>
    <t>Richard David</t>
  </si>
  <si>
    <t xml:space="preserve">HAFIZ, </t>
  </si>
  <si>
    <t>Razwana</t>
  </si>
  <si>
    <t>KING,</t>
  </si>
  <si>
    <t xml:space="preserve"> Richard</t>
  </si>
  <si>
    <t>KNIGHT,</t>
  </si>
  <si>
    <t>Cedric Vincent Felix</t>
  </si>
  <si>
    <t>RYAN,</t>
  </si>
  <si>
    <t>SAINI,</t>
  </si>
  <si>
    <t>Joyce Ellen</t>
  </si>
  <si>
    <t>Yogesh</t>
  </si>
  <si>
    <t>SMITH,</t>
  </si>
  <si>
    <t xml:space="preserve">SYDUZZAMAN, </t>
  </si>
  <si>
    <t>Sayeed</t>
  </si>
  <si>
    <t>Philip Richard</t>
  </si>
  <si>
    <t xml:space="preserve">VINCE, </t>
  </si>
  <si>
    <t>Mark James</t>
  </si>
  <si>
    <t>1058</t>
  </si>
  <si>
    <t>198</t>
  </si>
  <si>
    <t>1387</t>
  </si>
  <si>
    <t>263</t>
  </si>
  <si>
    <t>1260</t>
  </si>
  <si>
    <t>967</t>
  </si>
  <si>
    <t>977</t>
  </si>
  <si>
    <t>997</t>
  </si>
  <si>
    <t>772</t>
  </si>
  <si>
    <t>1082</t>
  </si>
  <si>
    <t>670</t>
  </si>
  <si>
    <t>1034</t>
  </si>
  <si>
    <t>1236</t>
  </si>
  <si>
    <t>1050</t>
  </si>
  <si>
    <t>788</t>
  </si>
  <si>
    <t>181</t>
  </si>
  <si>
    <t xml:space="preserve">ADIMULAM, </t>
  </si>
  <si>
    <t>Gowri Satish</t>
  </si>
  <si>
    <t xml:space="preserve">ANDERSON, </t>
  </si>
  <si>
    <t>James</t>
  </si>
  <si>
    <t xml:space="preserve">ARSHAD, </t>
  </si>
  <si>
    <t>Imran</t>
  </si>
  <si>
    <t>BURKWOOD,</t>
  </si>
  <si>
    <t xml:space="preserve">ELLIOTT, </t>
  </si>
  <si>
    <t>Laura</t>
  </si>
  <si>
    <t>Lee Michael</t>
  </si>
  <si>
    <t xml:space="preserve">GODDIN, </t>
  </si>
  <si>
    <t>Matthew</t>
  </si>
  <si>
    <t xml:space="preserve">MAHAJAN, </t>
  </si>
  <si>
    <t>Arpan</t>
  </si>
  <si>
    <t xml:space="preserve">MUHAMMAD, </t>
  </si>
  <si>
    <t>Ghazala</t>
  </si>
  <si>
    <t>MULLIS,</t>
  </si>
  <si>
    <t>Linda Anne</t>
  </si>
  <si>
    <t xml:space="preserve">NAZIR, </t>
  </si>
  <si>
    <t xml:space="preserve">SANDHU, </t>
  </si>
  <si>
    <t>Amir Ijaz</t>
  </si>
  <si>
    <t xml:space="preserve">SWORDS, </t>
  </si>
  <si>
    <t>Amanda</t>
  </si>
  <si>
    <t xml:space="preserve">TANEJA, </t>
  </si>
  <si>
    <t>Vibhu</t>
  </si>
  <si>
    <t xml:space="preserve">VAISHNAV, </t>
  </si>
  <si>
    <t>Vrindha</t>
  </si>
  <si>
    <t xml:space="preserve">ZEESHAN, </t>
  </si>
  <si>
    <t>Fahad</t>
  </si>
  <si>
    <t>746</t>
  </si>
  <si>
    <t>490</t>
  </si>
  <si>
    <t>901</t>
  </si>
  <si>
    <t>1868</t>
  </si>
  <si>
    <t>662</t>
  </si>
  <si>
    <t>473</t>
  </si>
  <si>
    <t>1771</t>
  </si>
  <si>
    <t>485</t>
  </si>
  <si>
    <t>777</t>
  </si>
  <si>
    <t>838</t>
  </si>
  <si>
    <t>1773</t>
  </si>
  <si>
    <t>717</t>
  </si>
  <si>
    <t>795</t>
  </si>
  <si>
    <t xml:space="preserve">AKHONDA, </t>
  </si>
  <si>
    <t>Shorif Hossain</t>
  </si>
  <si>
    <t>Maureen</t>
  </si>
  <si>
    <t>Amina</t>
  </si>
  <si>
    <t>Chacko</t>
  </si>
  <si>
    <t>Hannah</t>
  </si>
  <si>
    <t>CHOUDHURY,</t>
  </si>
  <si>
    <t xml:space="preserve"> Helen</t>
  </si>
  <si>
    <t>ASHLEY,</t>
  </si>
  <si>
    <t xml:space="preserve">AZMATH, </t>
  </si>
  <si>
    <t xml:space="preserve">BIBIN, </t>
  </si>
  <si>
    <t xml:space="preserve">CHAPMAN, </t>
  </si>
  <si>
    <t>Mohammed Abul Kashem</t>
  </si>
  <si>
    <t xml:space="preserve">CORNISH, </t>
  </si>
  <si>
    <t>Ben Oliver Alan</t>
  </si>
  <si>
    <t xml:space="preserve">GURM, </t>
  </si>
  <si>
    <t>Prabjit</t>
  </si>
  <si>
    <t xml:space="preserve">IQBAL, </t>
  </si>
  <si>
    <t>Amjad</t>
  </si>
  <si>
    <t>ISLAM,</t>
  </si>
  <si>
    <t xml:space="preserve">ROSE, </t>
  </si>
  <si>
    <t>Spencer</t>
  </si>
  <si>
    <t xml:space="preserve">THAKUR, </t>
  </si>
  <si>
    <t>Robin</t>
  </si>
  <si>
    <t xml:space="preserve">TYNE, </t>
  </si>
  <si>
    <t>John Charles</t>
  </si>
  <si>
    <t xml:space="preserve">YASIN, </t>
  </si>
  <si>
    <t>Humera</t>
  </si>
  <si>
    <t>Shorful</t>
  </si>
  <si>
    <t>1120</t>
  </si>
  <si>
    <t>519</t>
  </si>
  <si>
    <t>309</t>
  </si>
  <si>
    <t>677</t>
  </si>
  <si>
    <t>359</t>
  </si>
  <si>
    <t>1140</t>
  </si>
  <si>
    <t>1098</t>
  </si>
  <si>
    <t>632</t>
  </si>
  <si>
    <t>891</t>
  </si>
  <si>
    <t>515</t>
  </si>
  <si>
    <t>382</t>
  </si>
  <si>
    <t>593</t>
  </si>
  <si>
    <t>895</t>
  </si>
  <si>
    <t>AHMAD,</t>
  </si>
  <si>
    <t xml:space="preserve"> Rana Riaz</t>
  </si>
  <si>
    <t>Shah Muhammad Jahir</t>
  </si>
  <si>
    <t>Neil Philip</t>
  </si>
  <si>
    <t xml:space="preserve">BALDEV, </t>
  </si>
  <si>
    <t>Pamkaj Laxmidas</t>
  </si>
  <si>
    <t xml:space="preserve">BALI, </t>
  </si>
  <si>
    <t>Sunil</t>
  </si>
  <si>
    <t xml:space="preserve">BERNDT, </t>
  </si>
  <si>
    <t>Piotr Pawel</t>
  </si>
  <si>
    <t>Pushpita</t>
  </si>
  <si>
    <t xml:space="preserve">LEWIS, </t>
  </si>
  <si>
    <t>Sylvester</t>
  </si>
  <si>
    <t xml:space="preserve">MULLIS, </t>
  </si>
  <si>
    <t xml:space="preserve">SINGH, </t>
  </si>
  <si>
    <t>Kamaldeep</t>
  </si>
  <si>
    <t xml:space="preserve">STILL, </t>
  </si>
  <si>
    <t>Cat</t>
  </si>
  <si>
    <t xml:space="preserve">VASUDEVAN, </t>
  </si>
  <si>
    <t>Prabhu</t>
  </si>
  <si>
    <t>613</t>
  </si>
  <si>
    <t>633</t>
  </si>
  <si>
    <t>683</t>
  </si>
  <si>
    <t>1522</t>
  </si>
  <si>
    <t>1379</t>
  </si>
  <si>
    <t>493</t>
  </si>
  <si>
    <t>1234</t>
  </si>
  <si>
    <t>261</t>
  </si>
  <si>
    <t>1368</t>
  </si>
  <si>
    <t>1311</t>
  </si>
  <si>
    <t>1572</t>
  </si>
  <si>
    <t>516</t>
  </si>
  <si>
    <t>489</t>
  </si>
  <si>
    <t>Saima</t>
  </si>
  <si>
    <t xml:space="preserve">ENAMUL, </t>
  </si>
  <si>
    <t>Hossain Mohammed</t>
  </si>
  <si>
    <t xml:space="preserve">FALLOWS, </t>
  </si>
  <si>
    <t>Roger</t>
  </si>
  <si>
    <t>Mohammed Ashfaque Zaman</t>
  </si>
  <si>
    <t xml:space="preserve">MAHARAJ, </t>
  </si>
  <si>
    <t>MIRDHA,</t>
  </si>
  <si>
    <t>ODEJMI,</t>
  </si>
  <si>
    <t>Zahirvl Islam</t>
  </si>
  <si>
    <t>Isaac</t>
  </si>
  <si>
    <t xml:space="preserve">PATEL, </t>
  </si>
  <si>
    <t>Firoz</t>
  </si>
  <si>
    <t>Shoaib</t>
  </si>
  <si>
    <t>Syed Shumon</t>
  </si>
  <si>
    <t>920</t>
  </si>
  <si>
    <t>257</t>
  </si>
  <si>
    <t>113</t>
  </si>
  <si>
    <t>302</t>
  </si>
  <si>
    <t>428</t>
  </si>
  <si>
    <t>250</t>
  </si>
  <si>
    <t>806</t>
  </si>
  <si>
    <t>744</t>
  </si>
  <si>
    <t>462</t>
  </si>
  <si>
    <t>Muhammad Naseer</t>
  </si>
  <si>
    <t>Iqbal</t>
  </si>
  <si>
    <t xml:space="preserve">AMIN, </t>
  </si>
  <si>
    <t>Ruthba</t>
  </si>
  <si>
    <t xml:space="preserve">FIRDAUS, </t>
  </si>
  <si>
    <t>Nisa</t>
  </si>
  <si>
    <t xml:space="preserve">GAUR, </t>
  </si>
  <si>
    <t>Poonam</t>
  </si>
  <si>
    <t xml:space="preserve">HOSSAIN, </t>
  </si>
  <si>
    <t>Aleska</t>
  </si>
  <si>
    <t xml:space="preserve">JAMAN, </t>
  </si>
  <si>
    <t>Jaffry</t>
  </si>
  <si>
    <t xml:space="preserve">JANI, </t>
  </si>
  <si>
    <t>Tad</t>
  </si>
  <si>
    <t xml:space="preserve">KARIM, </t>
  </si>
  <si>
    <t>Razaul</t>
  </si>
  <si>
    <t xml:space="preserve">MITRACHE, </t>
  </si>
  <si>
    <t>Ramona</t>
  </si>
  <si>
    <t xml:space="preserve">NAQVI, </t>
  </si>
  <si>
    <t>Kashif</t>
  </si>
  <si>
    <t xml:space="preserve">NOEL, </t>
  </si>
  <si>
    <t>Michael</t>
  </si>
  <si>
    <t xml:space="preserve"> Ataur</t>
  </si>
  <si>
    <t>Foyzur</t>
  </si>
  <si>
    <t xml:space="preserve">SALEEM, </t>
  </si>
  <si>
    <t>Mazhar</t>
  </si>
  <si>
    <t xml:space="preserve">TOGA, </t>
  </si>
  <si>
    <t>Mohsin</t>
  </si>
  <si>
    <t>WARRAICH,</t>
  </si>
  <si>
    <t>Sahdia Ehsan</t>
  </si>
  <si>
    <t>299</t>
  </si>
  <si>
    <t>500</t>
  </si>
  <si>
    <t>558</t>
  </si>
  <si>
    <t>884</t>
  </si>
  <si>
    <t>336</t>
  </si>
  <si>
    <t>366</t>
  </si>
  <si>
    <t>248</t>
  </si>
  <si>
    <t>278</t>
  </si>
  <si>
    <t>215</t>
  </si>
  <si>
    <t>221</t>
  </si>
  <si>
    <t>364</t>
  </si>
  <si>
    <t>713</t>
  </si>
  <si>
    <t>241</t>
  </si>
  <si>
    <t>258</t>
  </si>
  <si>
    <t>1020</t>
  </si>
  <si>
    <t xml:space="preserve">AMJAD, </t>
  </si>
  <si>
    <t>Ijaz</t>
  </si>
  <si>
    <t xml:space="preserve">AWAN, </t>
  </si>
  <si>
    <t xml:space="preserve">BEGUM, </t>
  </si>
  <si>
    <t>Noor Jahan</t>
  </si>
  <si>
    <t xml:space="preserve">BHAGI, </t>
  </si>
  <si>
    <t>Rishi Sharma</t>
  </si>
  <si>
    <t xml:space="preserve">COLE, </t>
  </si>
  <si>
    <t>Matthew Alexander</t>
  </si>
  <si>
    <t xml:space="preserve">DESAI, </t>
  </si>
  <si>
    <t>Sharad</t>
  </si>
  <si>
    <t xml:space="preserve">DIAS, </t>
  </si>
  <si>
    <t>Russel</t>
  </si>
  <si>
    <t xml:space="preserve">HENNESSEY, </t>
  </si>
  <si>
    <t>Joanne Nicola</t>
  </si>
  <si>
    <t xml:space="preserve">KAUR, </t>
  </si>
  <si>
    <t>Harneek</t>
  </si>
  <si>
    <t>Tanweer Akhtar</t>
  </si>
  <si>
    <t>MUHAMMAD,</t>
  </si>
  <si>
    <t xml:space="preserve"> Bilal</t>
  </si>
  <si>
    <t xml:space="preserve">ODELL, </t>
  </si>
  <si>
    <t>Carl</t>
  </si>
  <si>
    <t xml:space="preserve">RIZWAN, </t>
  </si>
  <si>
    <t>Edreis</t>
  </si>
  <si>
    <t xml:space="preserve">TAKACS, </t>
  </si>
  <si>
    <t>Eva Marta</t>
  </si>
  <si>
    <t xml:space="preserve">TAZWAR, </t>
  </si>
  <si>
    <t>Azmain</t>
  </si>
  <si>
    <t>725</t>
  </si>
  <si>
    <t>1289</t>
  </si>
  <si>
    <t>1291</t>
  </si>
  <si>
    <t>442</t>
  </si>
  <si>
    <t>380</t>
  </si>
  <si>
    <t>367</t>
  </si>
  <si>
    <t>355</t>
  </si>
  <si>
    <t>1306</t>
  </si>
  <si>
    <t>1279</t>
  </si>
  <si>
    <t>1064</t>
  </si>
  <si>
    <t>324</t>
  </si>
  <si>
    <t>531</t>
  </si>
  <si>
    <t>348</t>
  </si>
  <si>
    <t xml:space="preserve">BOUCHIER, </t>
  </si>
  <si>
    <t>Gerald</t>
  </si>
  <si>
    <t xml:space="preserve">HARRIS, </t>
  </si>
  <si>
    <t>Timothy John</t>
  </si>
  <si>
    <t>HERGA,</t>
  </si>
  <si>
    <t>Joel Anthony</t>
  </si>
  <si>
    <t xml:space="preserve">HUNT, </t>
  </si>
  <si>
    <t>Claire Frazer</t>
  </si>
  <si>
    <t xml:space="preserve">KOUSAR, </t>
  </si>
  <si>
    <t>Romana</t>
  </si>
  <si>
    <t>MEAKIN,</t>
  </si>
  <si>
    <t>Jordan Patrick</t>
  </si>
  <si>
    <t xml:space="preserve">PORTOU, </t>
  </si>
  <si>
    <t>Chris</t>
  </si>
  <si>
    <t xml:space="preserve">SOORIYAKUMAR, </t>
  </si>
  <si>
    <t>Ghandhimathy</t>
  </si>
  <si>
    <t xml:space="preserve">VASEY, </t>
  </si>
  <si>
    <t>Clark Edward</t>
  </si>
  <si>
    <t xml:space="preserve">VYAS, </t>
  </si>
  <si>
    <t>Savan</t>
  </si>
  <si>
    <t>568</t>
  </si>
  <si>
    <t>518</t>
  </si>
  <si>
    <t>2055</t>
  </si>
  <si>
    <t>260</t>
  </si>
  <si>
    <t>545</t>
  </si>
  <si>
    <t>477</t>
  </si>
  <si>
    <t>187</t>
  </si>
  <si>
    <t>474</t>
  </si>
  <si>
    <t>1972</t>
  </si>
  <si>
    <t>455</t>
  </si>
  <si>
    <t>Tanvir</t>
  </si>
  <si>
    <t xml:space="preserve">BRAR, </t>
  </si>
  <si>
    <t>Sunny</t>
  </si>
  <si>
    <t xml:space="preserve">CHOUDHURY, </t>
  </si>
  <si>
    <t>Syeda Lovely</t>
  </si>
  <si>
    <t xml:space="preserve">GREEN, </t>
  </si>
  <si>
    <t>Winslow Bernard</t>
  </si>
  <si>
    <t xml:space="preserve">IKTADOR, </t>
  </si>
  <si>
    <t>Ibtasum</t>
  </si>
  <si>
    <t>IQBAL,</t>
  </si>
  <si>
    <t>JEYARANJAN,</t>
  </si>
  <si>
    <t>JULIETTE,</t>
  </si>
  <si>
    <t>Thavathuray</t>
  </si>
  <si>
    <t>Aslam Mohammed</t>
  </si>
  <si>
    <t>Chloe</t>
  </si>
  <si>
    <t xml:space="preserve">NNEJI, </t>
  </si>
  <si>
    <t>Samia Chidera Emeka</t>
  </si>
  <si>
    <t xml:space="preserve">OLAIFA, </t>
  </si>
  <si>
    <t>Olakunle</t>
  </si>
  <si>
    <t>Maulik Pravinchandra</t>
  </si>
  <si>
    <t xml:space="preserve">SEGOR, </t>
  </si>
  <si>
    <t>Stanley</t>
  </si>
  <si>
    <t xml:space="preserve">SULTAN, </t>
  </si>
  <si>
    <t>Moazzam</t>
  </si>
  <si>
    <t xml:space="preserve">VITALIE, </t>
  </si>
  <si>
    <t>Strungaru</t>
  </si>
  <si>
    <t>1215</t>
  </si>
  <si>
    <t>1683</t>
  </si>
  <si>
    <t>1583</t>
  </si>
  <si>
    <t>1027</t>
  </si>
  <si>
    <t>1077</t>
  </si>
  <si>
    <t>694</t>
  </si>
  <si>
    <t>526</t>
  </si>
  <si>
    <t>444</t>
  </si>
  <si>
    <t>605</t>
  </si>
  <si>
    <t>370</t>
  </si>
  <si>
    <t>347</t>
  </si>
  <si>
    <t>341</t>
  </si>
  <si>
    <t>AHMED,</t>
  </si>
  <si>
    <t xml:space="preserve"> Imran</t>
  </si>
  <si>
    <t xml:space="preserve">BAHRI, </t>
  </si>
  <si>
    <t>Awab</t>
  </si>
  <si>
    <t>BHARTI SOLANKI,</t>
  </si>
  <si>
    <t>CASTELLI,</t>
  </si>
  <si>
    <t>Vanisha Surendra</t>
  </si>
  <si>
    <t>Chiara</t>
  </si>
  <si>
    <t xml:space="preserve">CHOUDHERY, </t>
  </si>
  <si>
    <t>Kes</t>
  </si>
  <si>
    <t xml:space="preserve">CSOKA, </t>
  </si>
  <si>
    <t>Tony</t>
  </si>
  <si>
    <t xml:space="preserve">JOHAL, </t>
  </si>
  <si>
    <t>Nav</t>
  </si>
  <si>
    <t xml:space="preserve">KEMPSTER, </t>
  </si>
  <si>
    <t xml:space="preserve">KOTHIA, </t>
  </si>
  <si>
    <t>Sadiq Yakub</t>
  </si>
  <si>
    <t>Mohammed Khaled</t>
  </si>
  <si>
    <t>Dak</t>
  </si>
  <si>
    <t>QAMER ALI,</t>
  </si>
  <si>
    <t>Mir Maqdoom Hai</t>
  </si>
  <si>
    <t xml:space="preserve">RASHEED, </t>
  </si>
  <si>
    <t>Usman</t>
  </si>
  <si>
    <t>Abdur</t>
  </si>
  <si>
    <t>WALKER,</t>
  </si>
  <si>
    <t>Andy</t>
  </si>
  <si>
    <t xml:space="preserve">YASMIN, </t>
  </si>
  <si>
    <t>Rayhana</t>
  </si>
  <si>
    <t>Redbridge Trade Union Party</t>
  </si>
  <si>
    <t>1322</t>
  </si>
  <si>
    <t>627</t>
  </si>
  <si>
    <t>1156</t>
  </si>
  <si>
    <t>566</t>
  </si>
  <si>
    <t>1066</t>
  </si>
  <si>
    <t>1031</t>
  </si>
  <si>
    <t>499</t>
  </si>
  <si>
    <t>232</t>
  </si>
  <si>
    <t>272</t>
  </si>
  <si>
    <t>467</t>
  </si>
  <si>
    <t>783</t>
  </si>
  <si>
    <t xml:space="preserve">ACTON, </t>
  </si>
  <si>
    <t>Crispin William</t>
  </si>
  <si>
    <t xml:space="preserve">BREWER, </t>
  </si>
  <si>
    <t>Beverley Lisa</t>
  </si>
  <si>
    <t xml:space="preserve">CANAL, </t>
  </si>
  <si>
    <t>Paul</t>
  </si>
  <si>
    <t>Sam</t>
  </si>
  <si>
    <t>Robert Alexander</t>
  </si>
  <si>
    <t xml:space="preserve">GREYBE, </t>
  </si>
  <si>
    <t>Kallan</t>
  </si>
  <si>
    <t xml:space="preserve">HEHIR, </t>
  </si>
  <si>
    <t>Joe</t>
  </si>
  <si>
    <t>NARINESINGH,</t>
  </si>
  <si>
    <t xml:space="preserve">NEWMAN, </t>
  </si>
  <si>
    <t>Robert John</t>
  </si>
  <si>
    <t xml:space="preserve">NOLAN, </t>
  </si>
  <si>
    <t>Suzanne</t>
  </si>
  <si>
    <t>Monika</t>
  </si>
  <si>
    <t xml:space="preserve">SANTAUB, </t>
  </si>
  <si>
    <t>Jonathan</t>
  </si>
  <si>
    <t>WILDING,</t>
  </si>
  <si>
    <t>Scott Raymond</t>
  </si>
  <si>
    <t xml:space="preserve">WINDLE, </t>
  </si>
  <si>
    <t>Jaya</t>
  </si>
  <si>
    <t>1465</t>
  </si>
  <si>
    <t>962</t>
  </si>
  <si>
    <t>871</t>
  </si>
  <si>
    <t>1299</t>
  </si>
  <si>
    <t>1296</t>
  </si>
  <si>
    <t>1247</t>
  </si>
  <si>
    <t>1216</t>
  </si>
  <si>
    <t>1307</t>
  </si>
  <si>
    <t>557</t>
  </si>
  <si>
    <t>297</t>
  </si>
  <si>
    <t>540</t>
  </si>
  <si>
    <t>Waheed</t>
  </si>
  <si>
    <t xml:space="preserve">BELL, </t>
  </si>
  <si>
    <t>Neil</t>
  </si>
  <si>
    <t xml:space="preserve">BHATAWADEKAR, </t>
  </si>
  <si>
    <t>Priti</t>
  </si>
  <si>
    <t xml:space="preserve">BLACKWELL, </t>
  </si>
  <si>
    <t>Daniel</t>
  </si>
  <si>
    <t xml:space="preserve">BROWN, </t>
  </si>
  <si>
    <t>Frederick</t>
  </si>
  <si>
    <t xml:space="preserve">CHARLTON-HOLMES, </t>
  </si>
  <si>
    <t>Rashida Khanam</t>
  </si>
  <si>
    <t>CHOWDHURY,</t>
  </si>
  <si>
    <t>Khayer Muhammed Rahman</t>
  </si>
  <si>
    <t>Kumud</t>
  </si>
  <si>
    <t>Marwan</t>
  </si>
  <si>
    <t>Munaf Iqbal</t>
  </si>
  <si>
    <t>Anu</t>
  </si>
  <si>
    <t>Malik Faizan</t>
  </si>
  <si>
    <t>Brian</t>
  </si>
  <si>
    <t>Neelam</t>
  </si>
  <si>
    <t>Ahsan</t>
  </si>
  <si>
    <t xml:space="preserve">DATTA JOSHI, </t>
  </si>
  <si>
    <t xml:space="preserve">ELFALLAH, </t>
  </si>
  <si>
    <t xml:space="preserve">GANI, </t>
  </si>
  <si>
    <t xml:space="preserve">KAPOOR, </t>
  </si>
  <si>
    <t>KHALID,</t>
  </si>
  <si>
    <t xml:space="preserve">MANKIN, </t>
  </si>
  <si>
    <t xml:space="preserve">PAHL, </t>
  </si>
  <si>
    <t>625</t>
  </si>
  <si>
    <t>138</t>
  </si>
  <si>
    <t>399</t>
  </si>
  <si>
    <t>294</t>
  </si>
  <si>
    <t>266</t>
  </si>
  <si>
    <t>1501</t>
  </si>
  <si>
    <t>1576</t>
  </si>
  <si>
    <t>1362</t>
  </si>
  <si>
    <t>1228</t>
  </si>
  <si>
    <t>1435</t>
  </si>
  <si>
    <t>1418</t>
  </si>
  <si>
    <t>407</t>
  </si>
  <si>
    <t>562</t>
  </si>
  <si>
    <t>162</t>
  </si>
  <si>
    <t xml:space="preserve">GILANI, </t>
  </si>
  <si>
    <t>Nadir Iqbal</t>
  </si>
  <si>
    <t xml:space="preserve">HEPWORTH, </t>
  </si>
  <si>
    <t xml:space="preserve">JOYCE, </t>
  </si>
  <si>
    <t>Andrew Malcolm</t>
  </si>
  <si>
    <t xml:space="preserve">MILLER, </t>
  </si>
  <si>
    <t>Simon John</t>
  </si>
  <si>
    <t xml:space="preserve">PHOENIX, </t>
  </si>
  <si>
    <t>Yit Chan</t>
  </si>
  <si>
    <t xml:space="preserve">RICHARDS CLACK, </t>
  </si>
  <si>
    <t>Milli</t>
  </si>
  <si>
    <t xml:space="preserve">SHEPHERD-MALLINSON, </t>
  </si>
  <si>
    <t>Emma Selina</t>
  </si>
  <si>
    <t xml:space="preserve">SMITH, </t>
  </si>
  <si>
    <t>Paul Anton</t>
  </si>
  <si>
    <t xml:space="preserve">THOM, </t>
  </si>
  <si>
    <t>David Alexander</t>
  </si>
  <si>
    <t xml:space="preserve">THOMAS, </t>
  </si>
  <si>
    <t>Alan Howard</t>
  </si>
  <si>
    <t>1102</t>
  </si>
  <si>
    <t>384</t>
  </si>
  <si>
    <t>161</t>
  </si>
  <si>
    <t>1047</t>
  </si>
  <si>
    <t>353</t>
  </si>
  <si>
    <t>1183</t>
  </si>
  <si>
    <t>349</t>
  </si>
  <si>
    <t>175</t>
  </si>
  <si>
    <t>Md Kabir</t>
  </si>
  <si>
    <t xml:space="preserve">BLACKMAN, </t>
  </si>
  <si>
    <t>Jo</t>
  </si>
  <si>
    <t>William John</t>
  </si>
  <si>
    <t xml:space="preserve">D`ALANNO, </t>
  </si>
  <si>
    <t>Corbyn Leon</t>
  </si>
  <si>
    <t>David</t>
  </si>
  <si>
    <t xml:space="preserve">GITSHAM, </t>
  </si>
  <si>
    <t>Mark</t>
  </si>
  <si>
    <t xml:space="preserve">KRISHAN VITHLANI, </t>
  </si>
  <si>
    <t>Neal</t>
  </si>
  <si>
    <t>Sharmon</t>
  </si>
  <si>
    <t xml:space="preserve">MORGAN-THOMAS, </t>
  </si>
  <si>
    <t>Daniel Huw</t>
  </si>
  <si>
    <t xml:space="preserve">SAIR, </t>
  </si>
  <si>
    <t>Humza</t>
  </si>
  <si>
    <t xml:space="preserve">SCANNELL, </t>
  </si>
  <si>
    <t>Mark Evan</t>
  </si>
  <si>
    <t>TEHSEEN,</t>
  </si>
  <si>
    <t>Rabiya</t>
  </si>
  <si>
    <t>Mohammed Ohid</t>
  </si>
  <si>
    <t xml:space="preserve">WHITEHEAD, </t>
  </si>
  <si>
    <t>Sue</t>
  </si>
  <si>
    <t>The Conservative Party</t>
  </si>
  <si>
    <t>1715</t>
  </si>
  <si>
    <t>649</t>
  </si>
  <si>
    <t>621</t>
  </si>
  <si>
    <t>782</t>
  </si>
  <si>
    <t>1254</t>
  </si>
  <si>
    <t>577</t>
  </si>
  <si>
    <t>1415</t>
  </si>
  <si>
    <t>726</t>
  </si>
  <si>
    <t>716</t>
  </si>
  <si>
    <t>1230</t>
  </si>
  <si>
    <t>1478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</si>
</sst>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164" fontId="1" fillId="2" borderId="8" xfId="0" applyNumberFormat="1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NumberFormat="1" applyFont="1" applyFill="1" applyBorder="1" applyAlignment="1">
      <alignment horizont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8" xfId="0" applyFont="1" applyBorder="1"/>
    <xf numFmtId="0" fontId="7" fillId="0" borderId="12" xfId="0" applyFont="1" applyBorder="1"/>
    <xf numFmtId="10" fontId="1" fillId="2" borderId="8" xfId="0" applyNumberFormat="1" applyFont="1" applyFill="1" applyBorder="1" applyAlignment="1">
      <alignment horizontal="center"/>
    </xf>
    <xf numFmtId="0" fontId="0" fillId="0" borderId="8" xfId="0" applyBorder="1"/>
    <xf numFmtId="49" fontId="1" fillId="0" borderId="4" xfId="0" applyNumberFormat="1" applyFont="1" applyBorder="1" applyAlignment="1">
      <alignment horizontal="right"/>
    </xf>
    <xf numFmtId="49" fontId="1" fillId="0" borderId="7" xfId="0" applyNumberFormat="1" applyFont="1" applyBorder="1" applyAlignment="1">
      <alignment horizontal="right"/>
    </xf>
    <xf numFmtId="0" fontId="0" fillId="3" borderId="13" xfId="0" applyFill="1" applyBorder="1" applyProtection="1">
      <protection locked="0"/>
    </xf>
    <xf numFmtId="10" fontId="0" fillId="0" borderId="8" xfId="0" applyNumberFormat="1" applyBorder="1"/>
    <xf numFmtId="10" fontId="0" fillId="0" borderId="13" xfId="0" applyNumberFormat="1" applyBorder="1" applyProtection="1">
      <protection locked="0"/>
    </xf>
    <xf numFmtId="9" fontId="0" fillId="0" borderId="13" xfId="0" applyNumberFormat="1" applyBorder="1" applyProtection="1">
      <protection locked="0"/>
    </xf>
    <xf numFmtId="49" fontId="2" fillId="0" borderId="6" xfId="0" applyNumberFormat="1" applyFont="1" applyBorder="1" applyAlignment="1">
      <alignment horizontal="left"/>
    </xf>
    <xf numFmtId="9" fontId="0" fillId="0" borderId="13" xfId="0" applyNumberFormat="1" applyFill="1" applyBorder="1" applyProtection="1">
      <protection locked="0"/>
    </xf>
  </cellXfs>
  <cellStyles count="1">
    <cellStyle name="Normal" xfId="0" builtinId="0"/>
  </cellStyles>
  <dxfs count="132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4"/>
  <sheetViews>
    <sheetView showGridLines="0" zoomScaleNormal="100" workbookViewId="0">
      <selection activeCell="H10" sqref="H1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47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10646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4597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20">
        <v>3777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20">
        <v>820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30">
        <v>0.43099999999999999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10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6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2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90</v>
      </c>
      <c r="C20" s="12" t="s">
        <v>71</v>
      </c>
      <c r="D20" s="12" t="s">
        <v>109</v>
      </c>
      <c r="E20" s="26" t="s">
        <v>112</v>
      </c>
      <c r="F20" s="27">
        <v>631</v>
      </c>
      <c r="G20" s="13"/>
      <c r="H20" s="9" t="s">
        <v>24</v>
      </c>
      <c r="I20" s="1"/>
    </row>
    <row r="21" spans="1:9" ht="14.5" x14ac:dyDescent="0.35">
      <c r="A21" s="6">
        <v>2</v>
      </c>
      <c r="B21" s="25" t="s">
        <v>91</v>
      </c>
      <c r="C21" s="15" t="s">
        <v>72</v>
      </c>
      <c r="D21" s="15"/>
      <c r="E21" s="26" t="s">
        <v>112</v>
      </c>
      <c r="F21" s="28">
        <v>393</v>
      </c>
      <c r="G21" s="16"/>
      <c r="H21" s="9" t="s">
        <v>25</v>
      </c>
      <c r="I21" s="1"/>
    </row>
    <row r="22" spans="1:9" ht="14.5" x14ac:dyDescent="0.35">
      <c r="A22" s="6">
        <v>3</v>
      </c>
      <c r="B22" s="25" t="s">
        <v>92</v>
      </c>
      <c r="C22" s="15" t="s">
        <v>73</v>
      </c>
      <c r="D22" s="15"/>
      <c r="E22" s="26" t="s">
        <v>113</v>
      </c>
      <c r="F22" s="28">
        <v>751</v>
      </c>
      <c r="G22" s="16"/>
      <c r="H22" s="9" t="s">
        <v>26</v>
      </c>
      <c r="I22" s="1"/>
    </row>
    <row r="23" spans="1:9" ht="14.5" x14ac:dyDescent="0.35">
      <c r="A23" s="6">
        <v>4</v>
      </c>
      <c r="B23" s="25" t="s">
        <v>93</v>
      </c>
      <c r="C23" s="15" t="s">
        <v>74</v>
      </c>
      <c r="D23" s="15" t="s">
        <v>110</v>
      </c>
      <c r="E23" s="26" t="s">
        <v>114</v>
      </c>
      <c r="F23" s="28">
        <v>154</v>
      </c>
      <c r="G23" s="16"/>
      <c r="H23" s="9" t="s">
        <v>27</v>
      </c>
      <c r="I23" s="1"/>
    </row>
    <row r="24" spans="1:9" ht="14.5" x14ac:dyDescent="0.35">
      <c r="A24" s="6">
        <v>5</v>
      </c>
      <c r="B24" s="25" t="s">
        <v>94</v>
      </c>
      <c r="C24" s="15" t="s">
        <v>75</v>
      </c>
      <c r="D24" s="15"/>
      <c r="E24" s="26" t="s">
        <v>114</v>
      </c>
      <c r="F24" s="29">
        <v>138</v>
      </c>
      <c r="G24" s="16"/>
      <c r="H24" s="9" t="s">
        <v>28</v>
      </c>
      <c r="I24" s="1"/>
    </row>
    <row r="25" spans="1:9" ht="14.5" x14ac:dyDescent="0.35">
      <c r="A25" s="6">
        <v>6</v>
      </c>
      <c r="B25" s="25" t="s">
        <v>95</v>
      </c>
      <c r="C25" s="15" t="s">
        <v>76</v>
      </c>
      <c r="D25" s="15" t="s">
        <v>111</v>
      </c>
      <c r="E25" s="26" t="s">
        <v>115</v>
      </c>
      <c r="F25" s="29">
        <v>1729</v>
      </c>
      <c r="G25" s="16" t="s">
        <v>119</v>
      </c>
      <c r="H25" s="9" t="s">
        <v>29</v>
      </c>
      <c r="I25" s="1"/>
    </row>
    <row r="26" spans="1:9" ht="14.5" x14ac:dyDescent="0.35">
      <c r="A26" s="6">
        <v>7</v>
      </c>
      <c r="B26" s="25" t="s">
        <v>96</v>
      </c>
      <c r="C26" s="15" t="s">
        <v>77</v>
      </c>
      <c r="D26" s="15"/>
      <c r="E26" s="26" t="s">
        <v>112</v>
      </c>
      <c r="F26" s="29">
        <v>362</v>
      </c>
      <c r="G26" s="16"/>
      <c r="H26" s="9" t="s">
        <v>30</v>
      </c>
      <c r="I26" s="1"/>
    </row>
    <row r="27" spans="1:9" ht="14.5" x14ac:dyDescent="0.35">
      <c r="A27" s="6">
        <v>8</v>
      </c>
      <c r="B27" s="25" t="s">
        <v>97</v>
      </c>
      <c r="C27" s="15" t="s">
        <v>78</v>
      </c>
      <c r="D27" s="15" t="s">
        <v>111</v>
      </c>
      <c r="E27" s="26" t="s">
        <v>116</v>
      </c>
      <c r="F27" s="29">
        <v>562</v>
      </c>
      <c r="G27" s="16"/>
      <c r="H27" s="9" t="s">
        <v>31</v>
      </c>
      <c r="I27" s="1"/>
    </row>
    <row r="28" spans="1:9" ht="14.5" x14ac:dyDescent="0.35">
      <c r="A28" s="6">
        <v>9</v>
      </c>
      <c r="B28" s="25" t="s">
        <v>98</v>
      </c>
      <c r="C28" s="15" t="s">
        <v>79</v>
      </c>
      <c r="D28" s="15" t="s">
        <v>110</v>
      </c>
      <c r="E28" s="26" t="s">
        <v>117</v>
      </c>
      <c r="F28" s="29">
        <v>790</v>
      </c>
      <c r="G28" s="16"/>
      <c r="H28" s="9" t="s">
        <v>32</v>
      </c>
      <c r="I28" s="1"/>
    </row>
    <row r="29" spans="1:9" ht="14.5" x14ac:dyDescent="0.35">
      <c r="A29" s="6">
        <v>10</v>
      </c>
      <c r="B29" s="25" t="s">
        <v>99</v>
      </c>
      <c r="C29" s="15" t="s">
        <v>80</v>
      </c>
      <c r="D29" s="15"/>
      <c r="E29" s="26" t="s">
        <v>118</v>
      </c>
      <c r="F29" s="29">
        <v>432</v>
      </c>
      <c r="G29" s="16"/>
      <c r="H29" s="9" t="s">
        <v>33</v>
      </c>
      <c r="I29" s="1"/>
    </row>
    <row r="30" spans="1:9" ht="14.5" x14ac:dyDescent="0.35">
      <c r="A30" s="6">
        <v>11</v>
      </c>
      <c r="B30" s="25" t="s">
        <v>100</v>
      </c>
      <c r="C30" s="15" t="s">
        <v>81</v>
      </c>
      <c r="D30" s="15"/>
      <c r="E30" s="26" t="s">
        <v>113</v>
      </c>
      <c r="F30" s="29">
        <v>809</v>
      </c>
      <c r="G30" s="16"/>
      <c r="H30" s="9" t="s">
        <v>34</v>
      </c>
      <c r="I30" s="1"/>
    </row>
    <row r="31" spans="1:9" ht="14.5" x14ac:dyDescent="0.35">
      <c r="A31" s="6">
        <v>12</v>
      </c>
      <c r="B31" s="25" t="s">
        <v>101</v>
      </c>
      <c r="C31" s="15" t="s">
        <v>82</v>
      </c>
      <c r="D31" s="15" t="s">
        <v>111</v>
      </c>
      <c r="E31" s="26" t="s">
        <v>116</v>
      </c>
      <c r="F31" s="29">
        <v>458</v>
      </c>
      <c r="G31" s="16"/>
      <c r="H31" s="9" t="s">
        <v>35</v>
      </c>
      <c r="I31" s="1"/>
    </row>
    <row r="32" spans="1:9" ht="14.5" x14ac:dyDescent="0.35">
      <c r="A32" s="6">
        <v>13</v>
      </c>
      <c r="B32" s="25" t="s">
        <v>102</v>
      </c>
      <c r="C32" s="15" t="s">
        <v>83</v>
      </c>
      <c r="D32" s="15"/>
      <c r="E32" s="26" t="s">
        <v>115</v>
      </c>
      <c r="F32" s="29">
        <v>1646</v>
      </c>
      <c r="G32" s="16" t="s">
        <v>119</v>
      </c>
      <c r="H32" s="9" t="s">
        <v>36</v>
      </c>
      <c r="I32" s="1"/>
    </row>
    <row r="33" spans="1:9" ht="14.5" x14ac:dyDescent="0.35">
      <c r="A33" s="6">
        <v>14</v>
      </c>
      <c r="B33" s="25" t="s">
        <v>103</v>
      </c>
      <c r="C33" s="15" t="s">
        <v>84</v>
      </c>
      <c r="D33" s="15"/>
      <c r="E33" s="26" t="s">
        <v>115</v>
      </c>
      <c r="F33" s="29">
        <v>1874</v>
      </c>
      <c r="G33" s="16" t="s">
        <v>119</v>
      </c>
      <c r="H33" s="9" t="s">
        <v>37</v>
      </c>
      <c r="I33" s="1"/>
    </row>
    <row r="34" spans="1:9" ht="14.5" x14ac:dyDescent="0.35">
      <c r="A34" s="6">
        <v>15</v>
      </c>
      <c r="B34" s="25" t="s">
        <v>104</v>
      </c>
      <c r="C34" s="15" t="s">
        <v>85</v>
      </c>
      <c r="D34" s="15"/>
      <c r="E34" s="26" t="s">
        <v>116</v>
      </c>
      <c r="F34" s="29">
        <v>564</v>
      </c>
      <c r="G34" s="16"/>
      <c r="H34" s="9" t="s">
        <v>38</v>
      </c>
      <c r="I34" s="1"/>
    </row>
    <row r="35" spans="1:9" ht="14.5" x14ac:dyDescent="0.35">
      <c r="A35" s="6">
        <v>16</v>
      </c>
      <c r="B35" s="25" t="s">
        <v>105</v>
      </c>
      <c r="C35" s="15" t="s">
        <v>86</v>
      </c>
      <c r="D35" s="15" t="s">
        <v>110</v>
      </c>
      <c r="E35" s="26" t="s">
        <v>113</v>
      </c>
      <c r="F35" s="29">
        <v>732</v>
      </c>
      <c r="G35" s="16"/>
      <c r="H35" s="9" t="s">
        <v>39</v>
      </c>
      <c r="I35" s="1"/>
    </row>
    <row r="36" spans="1:9" ht="14.5" x14ac:dyDescent="0.35">
      <c r="A36" s="6">
        <v>17</v>
      </c>
      <c r="B36" s="25" t="s">
        <v>106</v>
      </c>
      <c r="C36" s="15" t="s">
        <v>87</v>
      </c>
      <c r="D36" s="15"/>
      <c r="E36" s="26" t="s">
        <v>118</v>
      </c>
      <c r="F36" s="29">
        <v>259</v>
      </c>
      <c r="G36" s="16"/>
      <c r="H36" s="9" t="s">
        <v>40</v>
      </c>
      <c r="I36" s="1"/>
    </row>
    <row r="37" spans="1:9" ht="14.5" x14ac:dyDescent="0.35">
      <c r="A37" s="6">
        <v>18</v>
      </c>
      <c r="B37" s="25" t="s">
        <v>107</v>
      </c>
      <c r="C37" s="15" t="s">
        <v>88</v>
      </c>
      <c r="D37" s="15" t="s">
        <v>111</v>
      </c>
      <c r="E37" s="26" t="s">
        <v>114</v>
      </c>
      <c r="F37" s="29">
        <v>160</v>
      </c>
      <c r="G37" s="16"/>
      <c r="H37" s="9" t="s">
        <v>41</v>
      </c>
      <c r="I37" s="1"/>
    </row>
    <row r="38" spans="1:9" ht="14.5" x14ac:dyDescent="0.35">
      <c r="A38" s="6">
        <v>19</v>
      </c>
      <c r="B38" s="25" t="s">
        <v>108</v>
      </c>
      <c r="C38" s="15" t="s">
        <v>89</v>
      </c>
      <c r="D38" s="15" t="s">
        <v>111</v>
      </c>
      <c r="E38" s="26" t="s">
        <v>117</v>
      </c>
      <c r="F38" s="29">
        <v>715</v>
      </c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E40">
    <cfRule type="expression" dxfId="131" priority="7" stopIfTrue="1">
      <formula>MOD(ROW(),2)=0</formula>
    </cfRule>
    <cfRule type="expression" dxfId="130" priority="8" stopIfTrue="1">
      <formula>MOD(ROW(),2)=1</formula>
    </cfRule>
  </conditionalFormatting>
  <conditionalFormatting sqref="C20">
    <cfRule type="expression" dxfId="129" priority="5" stopIfTrue="1">
      <formula>MOD(ROW(),2)=0</formula>
    </cfRule>
    <cfRule type="expression" dxfId="128" priority="6" stopIfTrue="1">
      <formula>MOD(ROW(),2)=1</formula>
    </cfRule>
  </conditionalFormatting>
  <conditionalFormatting sqref="F20:G40">
    <cfRule type="expression" dxfId="127" priority="1" stopIfTrue="1">
      <formula>MOD(ROW(),2)=0</formula>
    </cfRule>
    <cfRule type="expression" dxfId="12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4"/>
  <sheetViews>
    <sheetView showGridLines="0" topLeftCell="A19" zoomScaleNormal="100" workbookViewId="0">
      <selection activeCell="H34" sqref="H34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49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11126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5024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20">
        <v>3976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20">
        <v>1048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30">
        <v>0.45100000000000001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21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3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15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2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120</v>
      </c>
      <c r="C20" s="12" t="s">
        <v>138</v>
      </c>
      <c r="D20" s="12"/>
      <c r="E20" s="26" t="s">
        <v>113</v>
      </c>
      <c r="F20" s="13" t="s">
        <v>146</v>
      </c>
      <c r="G20" s="13"/>
      <c r="H20" s="9" t="s">
        <v>24</v>
      </c>
      <c r="I20" s="1"/>
    </row>
    <row r="21" spans="1:9" ht="14.5" x14ac:dyDescent="0.35">
      <c r="A21" s="6">
        <v>2</v>
      </c>
      <c r="B21" s="25" t="s">
        <v>121</v>
      </c>
      <c r="C21" s="15" t="s">
        <v>133</v>
      </c>
      <c r="D21" s="15"/>
      <c r="E21" s="26" t="s">
        <v>112</v>
      </c>
      <c r="F21" s="27">
        <v>1472</v>
      </c>
      <c r="G21" s="16"/>
      <c r="H21" s="9" t="s">
        <v>25</v>
      </c>
      <c r="I21" s="1"/>
    </row>
    <row r="22" spans="1:9" ht="14.5" x14ac:dyDescent="0.35">
      <c r="A22" s="6">
        <v>3</v>
      </c>
      <c r="B22" s="25" t="s">
        <v>122</v>
      </c>
      <c r="C22" s="15" t="s">
        <v>134</v>
      </c>
      <c r="D22" s="15" t="s">
        <v>109</v>
      </c>
      <c r="E22" s="26" t="s">
        <v>112</v>
      </c>
      <c r="F22" s="27">
        <v>1382</v>
      </c>
      <c r="G22" s="16"/>
      <c r="H22" s="9" t="s">
        <v>26</v>
      </c>
      <c r="I22" s="1"/>
    </row>
    <row r="23" spans="1:9" ht="14.5" x14ac:dyDescent="0.35">
      <c r="A23" s="6">
        <v>4</v>
      </c>
      <c r="B23" s="25" t="s">
        <v>123</v>
      </c>
      <c r="C23" s="15" t="s">
        <v>139</v>
      </c>
      <c r="D23" s="15"/>
      <c r="E23" s="26" t="s">
        <v>115</v>
      </c>
      <c r="F23" s="27">
        <v>1785</v>
      </c>
      <c r="G23" s="16" t="s">
        <v>119</v>
      </c>
      <c r="H23" s="9" t="s">
        <v>27</v>
      </c>
      <c r="I23" s="1"/>
    </row>
    <row r="24" spans="1:9" ht="14.5" x14ac:dyDescent="0.35">
      <c r="A24" s="6">
        <v>5</v>
      </c>
      <c r="B24" s="25" t="s">
        <v>124</v>
      </c>
      <c r="C24" s="15" t="s">
        <v>135</v>
      </c>
      <c r="D24" s="15"/>
      <c r="E24" s="26" t="s">
        <v>116</v>
      </c>
      <c r="F24" s="27">
        <v>680</v>
      </c>
      <c r="G24" s="16"/>
      <c r="H24" s="9" t="s">
        <v>28</v>
      </c>
      <c r="I24" s="1"/>
    </row>
    <row r="25" spans="1:9" ht="14.5" x14ac:dyDescent="0.35">
      <c r="A25" s="6">
        <v>6</v>
      </c>
      <c r="B25" s="25" t="s">
        <v>125</v>
      </c>
      <c r="C25" s="15" t="s">
        <v>140</v>
      </c>
      <c r="D25" s="15"/>
      <c r="E25" s="26" t="s">
        <v>112</v>
      </c>
      <c r="F25" s="27">
        <v>1328</v>
      </c>
      <c r="G25" s="16"/>
      <c r="H25" s="9" t="s">
        <v>29</v>
      </c>
      <c r="I25" s="1"/>
    </row>
    <row r="26" spans="1:9" ht="14.5" x14ac:dyDescent="0.35">
      <c r="A26" s="6">
        <v>7</v>
      </c>
      <c r="B26" s="25" t="s">
        <v>126</v>
      </c>
      <c r="C26" s="15" t="s">
        <v>141</v>
      </c>
      <c r="D26" s="15"/>
      <c r="E26" s="26" t="s">
        <v>114</v>
      </c>
      <c r="F26" s="27">
        <v>313</v>
      </c>
      <c r="G26" s="16"/>
      <c r="H26" s="9" t="s">
        <v>30</v>
      </c>
      <c r="I26" s="1"/>
    </row>
    <row r="27" spans="1:9" ht="14.5" x14ac:dyDescent="0.35">
      <c r="A27" s="6">
        <v>8</v>
      </c>
      <c r="B27" s="25" t="s">
        <v>127</v>
      </c>
      <c r="C27" s="15" t="s">
        <v>136</v>
      </c>
      <c r="D27" s="15" t="s">
        <v>109</v>
      </c>
      <c r="E27" s="26" t="s">
        <v>115</v>
      </c>
      <c r="F27" s="27">
        <v>1630</v>
      </c>
      <c r="G27" s="16" t="s">
        <v>119</v>
      </c>
      <c r="H27" s="9" t="s">
        <v>31</v>
      </c>
      <c r="I27" s="1"/>
    </row>
    <row r="28" spans="1:9" ht="14.5" x14ac:dyDescent="0.35">
      <c r="A28" s="6">
        <v>9</v>
      </c>
      <c r="B28" s="25" t="s">
        <v>128</v>
      </c>
      <c r="C28" s="15" t="s">
        <v>137</v>
      </c>
      <c r="D28" s="15"/>
      <c r="E28" s="26" t="s">
        <v>113</v>
      </c>
      <c r="F28" s="27">
        <v>716</v>
      </c>
      <c r="G28" s="16"/>
      <c r="H28" s="9" t="s">
        <v>32</v>
      </c>
      <c r="I28" s="1"/>
    </row>
    <row r="29" spans="1:9" ht="14.5" x14ac:dyDescent="0.35">
      <c r="A29" s="6">
        <v>10</v>
      </c>
      <c r="B29" s="25" t="s">
        <v>129</v>
      </c>
      <c r="C29" s="15" t="s">
        <v>142</v>
      </c>
      <c r="D29" s="15"/>
      <c r="E29" s="26" t="s">
        <v>116</v>
      </c>
      <c r="F29" s="27">
        <v>674</v>
      </c>
      <c r="G29" s="16"/>
      <c r="H29" s="9" t="s">
        <v>33</v>
      </c>
      <c r="I29" s="1"/>
    </row>
    <row r="30" spans="1:9" ht="14.5" x14ac:dyDescent="0.35">
      <c r="A30" s="6">
        <v>11</v>
      </c>
      <c r="B30" s="25" t="s">
        <v>130</v>
      </c>
      <c r="C30" s="15" t="s">
        <v>143</v>
      </c>
      <c r="D30" s="15" t="s">
        <v>109</v>
      </c>
      <c r="E30" s="26" t="s">
        <v>113</v>
      </c>
      <c r="F30" s="27">
        <v>1003</v>
      </c>
      <c r="G30" s="16"/>
      <c r="H30" s="9" t="s">
        <v>34</v>
      </c>
      <c r="I30" s="1"/>
    </row>
    <row r="31" spans="1:9" ht="14.5" x14ac:dyDescent="0.35">
      <c r="A31" s="6">
        <v>12</v>
      </c>
      <c r="B31" s="25" t="s">
        <v>131</v>
      </c>
      <c r="C31" s="15" t="s">
        <v>144</v>
      </c>
      <c r="D31" s="15"/>
      <c r="E31" s="26" t="s">
        <v>115</v>
      </c>
      <c r="F31" s="27">
        <v>1649</v>
      </c>
      <c r="G31" s="16" t="s">
        <v>119</v>
      </c>
      <c r="H31" s="9" t="s">
        <v>35</v>
      </c>
      <c r="I31" s="1"/>
    </row>
    <row r="32" spans="1:9" ht="14.5" x14ac:dyDescent="0.35">
      <c r="A32" s="6">
        <v>13</v>
      </c>
      <c r="B32" s="25" t="s">
        <v>132</v>
      </c>
      <c r="C32" s="15" t="s">
        <v>145</v>
      </c>
      <c r="D32" s="15"/>
      <c r="E32" s="26" t="s">
        <v>116</v>
      </c>
      <c r="F32" s="27">
        <v>603</v>
      </c>
      <c r="G32" s="16"/>
      <c r="H32" s="9" t="s">
        <v>36</v>
      </c>
      <c r="I32" s="1"/>
    </row>
    <row r="33" spans="1:9" ht="14.5" x14ac:dyDescent="0.35">
      <c r="A33" s="6">
        <v>14</v>
      </c>
      <c r="B33" s="14"/>
      <c r="C33" s="15"/>
      <c r="D33" s="15"/>
      <c r="E33" s="16"/>
      <c r="F33" s="27"/>
      <c r="G33" s="16"/>
      <c r="H33" s="9" t="s">
        <v>37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E40">
    <cfRule type="expression" dxfId="125" priority="7" stopIfTrue="1">
      <formula>MOD(ROW(),2)=0</formula>
    </cfRule>
    <cfRule type="expression" dxfId="124" priority="8" stopIfTrue="1">
      <formula>MOD(ROW(),2)=1</formula>
    </cfRule>
  </conditionalFormatting>
  <conditionalFormatting sqref="C20">
    <cfRule type="expression" dxfId="123" priority="5" stopIfTrue="1">
      <formula>MOD(ROW(),2)=0</formula>
    </cfRule>
    <cfRule type="expression" dxfId="122" priority="6" stopIfTrue="1">
      <formula>MOD(ROW(),2)=1</formula>
    </cfRule>
  </conditionalFormatting>
  <conditionalFormatting sqref="F20:G40">
    <cfRule type="expression" dxfId="121" priority="1" stopIfTrue="1">
      <formula>MOD(ROW(),2)=0</formula>
    </cfRule>
    <cfRule type="expression" dxfId="12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44"/>
  <sheetViews>
    <sheetView showGridLines="0" topLeftCell="A17" zoomScaleNormal="100" workbookViewId="0">
      <selection activeCell="H23" sqref="H23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50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9653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4392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31">
        <f>281+696+550+618+1357</f>
        <v>3502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31">
        <v>890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30">
        <v>0.45500000000000002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9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30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6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160</v>
      </c>
      <c r="C20" s="12" t="s">
        <v>147</v>
      </c>
      <c r="D20" s="12"/>
      <c r="E20" s="26" t="s">
        <v>173</v>
      </c>
      <c r="F20" s="32" t="s">
        <v>175</v>
      </c>
      <c r="G20" s="13" t="s">
        <v>119</v>
      </c>
      <c r="H20" s="9" t="s">
        <v>24</v>
      </c>
      <c r="I20" s="1"/>
    </row>
    <row r="21" spans="1:9" ht="14.5" x14ac:dyDescent="0.35">
      <c r="A21" s="6">
        <v>2</v>
      </c>
      <c r="B21" s="25" t="s">
        <v>161</v>
      </c>
      <c r="C21" s="15" t="s">
        <v>148</v>
      </c>
      <c r="D21" s="15" t="s">
        <v>109</v>
      </c>
      <c r="E21" s="26" t="s">
        <v>115</v>
      </c>
      <c r="F21" s="33" t="s">
        <v>176</v>
      </c>
      <c r="G21" s="16"/>
      <c r="H21" s="9" t="s">
        <v>25</v>
      </c>
      <c r="I21" s="1"/>
    </row>
    <row r="22" spans="1:9" ht="14.5" x14ac:dyDescent="0.35">
      <c r="A22" s="6">
        <v>3</v>
      </c>
      <c r="B22" s="25" t="s">
        <v>162</v>
      </c>
      <c r="C22" s="15" t="s">
        <v>149</v>
      </c>
      <c r="D22" s="15"/>
      <c r="E22" s="26" t="s">
        <v>117</v>
      </c>
      <c r="F22" s="33" t="s">
        <v>178</v>
      </c>
      <c r="G22" s="16"/>
      <c r="H22" s="9" t="s">
        <v>26</v>
      </c>
      <c r="I22" s="1"/>
    </row>
    <row r="23" spans="1:9" ht="14.5" x14ac:dyDescent="0.35">
      <c r="A23" s="6">
        <v>4</v>
      </c>
      <c r="B23" s="25" t="s">
        <v>163</v>
      </c>
      <c r="C23" s="15" t="s">
        <v>150</v>
      </c>
      <c r="D23" s="15"/>
      <c r="E23" s="26" t="s">
        <v>115</v>
      </c>
      <c r="F23" s="33" t="s">
        <v>179</v>
      </c>
      <c r="G23" s="16"/>
      <c r="H23" s="9" t="s">
        <v>27</v>
      </c>
      <c r="I23" s="1"/>
    </row>
    <row r="24" spans="1:9" ht="14.5" x14ac:dyDescent="0.35">
      <c r="A24" s="6">
        <v>5</v>
      </c>
      <c r="B24" s="25" t="s">
        <v>164</v>
      </c>
      <c r="C24" s="15" t="s">
        <v>151</v>
      </c>
      <c r="D24" s="15"/>
      <c r="E24" s="26" t="s">
        <v>115</v>
      </c>
      <c r="F24" s="33" t="s">
        <v>180</v>
      </c>
      <c r="G24" s="16"/>
      <c r="H24" s="9" t="s">
        <v>28</v>
      </c>
      <c r="I24" s="1"/>
    </row>
    <row r="25" spans="1:9" ht="14.5" x14ac:dyDescent="0.35">
      <c r="A25" s="6">
        <v>6</v>
      </c>
      <c r="B25" s="25" t="s">
        <v>165</v>
      </c>
      <c r="C25" s="15" t="s">
        <v>152</v>
      </c>
      <c r="D25" s="15" t="s">
        <v>109</v>
      </c>
      <c r="E25" s="26" t="s">
        <v>174</v>
      </c>
      <c r="F25" s="33" t="s">
        <v>181</v>
      </c>
      <c r="G25" s="16"/>
      <c r="H25" s="9" t="s">
        <v>29</v>
      </c>
      <c r="I25" s="1"/>
    </row>
    <row r="26" spans="1:9" ht="14.5" x14ac:dyDescent="0.35">
      <c r="A26" s="6">
        <v>7</v>
      </c>
      <c r="B26" s="25" t="s">
        <v>166</v>
      </c>
      <c r="C26" s="15" t="s">
        <v>153</v>
      </c>
      <c r="D26" s="15"/>
      <c r="E26" s="26" t="s">
        <v>173</v>
      </c>
      <c r="F26" s="33" t="s">
        <v>182</v>
      </c>
      <c r="G26" s="16" t="s">
        <v>119</v>
      </c>
      <c r="H26" s="9" t="s">
        <v>30</v>
      </c>
      <c r="I26" s="1"/>
    </row>
    <row r="27" spans="1:9" ht="14.5" x14ac:dyDescent="0.35">
      <c r="A27" s="6">
        <v>8</v>
      </c>
      <c r="B27" s="25" t="s">
        <v>167</v>
      </c>
      <c r="C27" s="15" t="s">
        <v>154</v>
      </c>
      <c r="D27" s="15"/>
      <c r="E27" s="26" t="s">
        <v>116</v>
      </c>
      <c r="F27" s="33" t="s">
        <v>183</v>
      </c>
      <c r="G27" s="16"/>
      <c r="H27" s="9" t="s">
        <v>31</v>
      </c>
      <c r="I27" s="1"/>
    </row>
    <row r="28" spans="1:9" ht="14.5" x14ac:dyDescent="0.35">
      <c r="A28" s="6">
        <v>9</v>
      </c>
      <c r="B28" s="25" t="s">
        <v>168</v>
      </c>
      <c r="C28" s="15" t="s">
        <v>155</v>
      </c>
      <c r="D28" s="15"/>
      <c r="E28" s="26" t="s">
        <v>117</v>
      </c>
      <c r="F28" s="33" t="s">
        <v>184</v>
      </c>
      <c r="G28" s="16"/>
      <c r="H28" s="9" t="s">
        <v>32</v>
      </c>
      <c r="I28" s="1"/>
    </row>
    <row r="29" spans="1:9" ht="14.5" x14ac:dyDescent="0.35">
      <c r="A29" s="6">
        <v>10</v>
      </c>
      <c r="B29" s="25" t="s">
        <v>169</v>
      </c>
      <c r="C29" s="15" t="s">
        <v>156</v>
      </c>
      <c r="D29" s="15"/>
      <c r="E29" s="26" t="s">
        <v>173</v>
      </c>
      <c r="F29" s="33" t="s">
        <v>185</v>
      </c>
      <c r="G29" s="16" t="s">
        <v>119</v>
      </c>
      <c r="H29" s="9" t="s">
        <v>33</v>
      </c>
      <c r="I29" s="1"/>
    </row>
    <row r="30" spans="1:9" ht="14.5" x14ac:dyDescent="0.35">
      <c r="A30" s="6">
        <v>11</v>
      </c>
      <c r="B30" s="25" t="s">
        <v>170</v>
      </c>
      <c r="C30" s="15" t="s">
        <v>157</v>
      </c>
      <c r="D30" s="15"/>
      <c r="E30" s="26" t="s">
        <v>114</v>
      </c>
      <c r="F30" s="33" t="s">
        <v>186</v>
      </c>
      <c r="G30" s="16"/>
      <c r="H30" s="9" t="s">
        <v>34</v>
      </c>
      <c r="I30" s="1"/>
    </row>
    <row r="31" spans="1:9" ht="14.5" x14ac:dyDescent="0.35">
      <c r="A31" s="6">
        <v>12</v>
      </c>
      <c r="B31" s="25" t="s">
        <v>171</v>
      </c>
      <c r="C31" s="15" t="s">
        <v>158</v>
      </c>
      <c r="D31" s="15"/>
      <c r="E31" s="26" t="s">
        <v>116</v>
      </c>
      <c r="F31" s="33" t="s">
        <v>187</v>
      </c>
      <c r="G31" s="16"/>
      <c r="H31" s="9" t="s">
        <v>35</v>
      </c>
      <c r="I31" s="1"/>
    </row>
    <row r="32" spans="1:9" ht="14.5" x14ac:dyDescent="0.35">
      <c r="A32" s="6">
        <v>13</v>
      </c>
      <c r="B32" s="25" t="s">
        <v>172</v>
      </c>
      <c r="C32" s="15" t="s">
        <v>159</v>
      </c>
      <c r="D32" s="15"/>
      <c r="E32" s="26" t="s">
        <v>116</v>
      </c>
      <c r="F32" s="33" t="s">
        <v>188</v>
      </c>
      <c r="G32" s="16"/>
      <c r="H32" s="9" t="s">
        <v>36</v>
      </c>
      <c r="I32" s="1"/>
    </row>
    <row r="33" spans="1:9" ht="14" x14ac:dyDescent="0.3">
      <c r="A33" s="6">
        <v>14</v>
      </c>
      <c r="B33" s="14"/>
      <c r="C33" s="15"/>
      <c r="D33" s="15"/>
      <c r="E33" s="16"/>
      <c r="F33" s="16"/>
      <c r="G33" s="16"/>
      <c r="H33" s="9" t="s">
        <v>37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E40">
    <cfRule type="expression" dxfId="119" priority="7" stopIfTrue="1">
      <formula>MOD(ROW(),2)=0</formula>
    </cfRule>
    <cfRule type="expression" dxfId="118" priority="8" stopIfTrue="1">
      <formula>MOD(ROW(),2)=1</formula>
    </cfRule>
  </conditionalFormatting>
  <conditionalFormatting sqref="C20">
    <cfRule type="expression" dxfId="117" priority="5" stopIfTrue="1">
      <formula>MOD(ROW(),2)=0</formula>
    </cfRule>
    <cfRule type="expression" dxfId="116" priority="6" stopIfTrue="1">
      <formula>MOD(ROW(),2)=1</formula>
    </cfRule>
  </conditionalFormatting>
  <conditionalFormatting sqref="F20:G40">
    <cfRule type="expression" dxfId="115" priority="1" stopIfTrue="1">
      <formula>MOD(ROW(),2)=0</formula>
    </cfRule>
    <cfRule type="expression" dxfId="11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I44"/>
  <sheetViews>
    <sheetView showGridLines="0" topLeftCell="A18" zoomScaleNormal="100" workbookViewId="0">
      <selection activeCell="G24" sqref="G24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7.9062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51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11275</v>
      </c>
    </row>
    <row r="8" spans="1:9" ht="14.5" thickBot="1" x14ac:dyDescent="0.35">
      <c r="A8" s="5" t="s">
        <v>7</v>
      </c>
      <c r="B8" s="23"/>
      <c r="C8" s="23"/>
      <c r="D8" s="23"/>
      <c r="E8" s="23"/>
      <c r="F8" s="23"/>
      <c r="G8" s="34">
        <f>SUM(G9:G10)</f>
        <v>4376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31">
        <f>804+635+1042+1130+1</f>
        <v>3612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31">
        <v>764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35">
        <v>0.38800000000000001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10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3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8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200</v>
      </c>
      <c r="C20" s="12" t="s">
        <v>190</v>
      </c>
      <c r="D20" s="12"/>
      <c r="E20" s="26" t="s">
        <v>112</v>
      </c>
      <c r="F20" s="32" t="s">
        <v>225</v>
      </c>
      <c r="G20" s="13" t="s">
        <v>119</v>
      </c>
      <c r="H20" s="9" t="s">
        <v>24</v>
      </c>
      <c r="I20" s="1"/>
    </row>
    <row r="21" spans="1:9" ht="14.5" x14ac:dyDescent="0.35">
      <c r="A21" s="6">
        <v>2</v>
      </c>
      <c r="B21" s="25" t="s">
        <v>202</v>
      </c>
      <c r="C21" s="15" t="s">
        <v>191</v>
      </c>
      <c r="D21" s="15"/>
      <c r="E21" s="26" t="s">
        <v>116</v>
      </c>
      <c r="F21" s="33" t="s">
        <v>226</v>
      </c>
      <c r="G21" s="16"/>
      <c r="H21" s="9" t="s">
        <v>25</v>
      </c>
      <c r="I21" s="1"/>
    </row>
    <row r="22" spans="1:9" ht="14.5" x14ac:dyDescent="0.35">
      <c r="A22" s="6">
        <v>3</v>
      </c>
      <c r="B22" s="25" t="s">
        <v>203</v>
      </c>
      <c r="C22" s="15" t="s">
        <v>201</v>
      </c>
      <c r="D22" s="15" t="s">
        <v>109</v>
      </c>
      <c r="E22" s="26" t="s">
        <v>189</v>
      </c>
      <c r="F22" s="33" t="s">
        <v>227</v>
      </c>
      <c r="G22" s="16"/>
      <c r="H22" s="9" t="s">
        <v>26</v>
      </c>
      <c r="I22" s="1"/>
    </row>
    <row r="23" spans="1:9" ht="14.5" x14ac:dyDescent="0.35">
      <c r="A23" s="6">
        <v>4</v>
      </c>
      <c r="B23" s="25" t="s">
        <v>204</v>
      </c>
      <c r="C23" s="15" t="s">
        <v>192</v>
      </c>
      <c r="D23" s="15" t="s">
        <v>111</v>
      </c>
      <c r="E23" s="26" t="s">
        <v>117</v>
      </c>
      <c r="F23" s="33" t="s">
        <v>228</v>
      </c>
      <c r="G23" s="16" t="s">
        <v>119</v>
      </c>
      <c r="H23" s="9" t="s">
        <v>27</v>
      </c>
      <c r="I23" s="1"/>
    </row>
    <row r="24" spans="1:9" ht="14.5" x14ac:dyDescent="0.35">
      <c r="A24" s="6">
        <v>5</v>
      </c>
      <c r="B24" s="25" t="s">
        <v>205</v>
      </c>
      <c r="C24" s="15" t="s">
        <v>193</v>
      </c>
      <c r="D24" s="15" t="s">
        <v>111</v>
      </c>
      <c r="E24" s="26" t="s">
        <v>173</v>
      </c>
      <c r="F24" s="33" t="s">
        <v>229</v>
      </c>
      <c r="G24" s="16"/>
      <c r="H24" s="9" t="s">
        <v>28</v>
      </c>
      <c r="I24" s="1"/>
    </row>
    <row r="25" spans="1:9" ht="14.5" x14ac:dyDescent="0.35">
      <c r="A25" s="6">
        <v>6</v>
      </c>
      <c r="B25" s="25" t="s">
        <v>164</v>
      </c>
      <c r="C25" s="15" t="s">
        <v>194</v>
      </c>
      <c r="D25" s="15"/>
      <c r="E25" s="26" t="s">
        <v>112</v>
      </c>
      <c r="F25" s="33" t="s">
        <v>230</v>
      </c>
      <c r="G25" s="16"/>
      <c r="H25" s="9" t="s">
        <v>29</v>
      </c>
      <c r="I25" s="1"/>
    </row>
    <row r="26" spans="1:9" ht="14.5" x14ac:dyDescent="0.35">
      <c r="A26" s="6">
        <v>7</v>
      </c>
      <c r="B26" s="25" t="s">
        <v>206</v>
      </c>
      <c r="C26" s="15" t="s">
        <v>195</v>
      </c>
      <c r="D26" s="15"/>
      <c r="E26" s="26" t="s">
        <v>115</v>
      </c>
      <c r="F26" s="33" t="s">
        <v>233</v>
      </c>
      <c r="G26" s="16" t="s">
        <v>119</v>
      </c>
      <c r="H26" s="9" t="s">
        <v>30</v>
      </c>
      <c r="I26" s="1"/>
    </row>
    <row r="27" spans="1:9" ht="14.5" x14ac:dyDescent="0.35">
      <c r="A27" s="6">
        <v>8</v>
      </c>
      <c r="B27" s="25" t="s">
        <v>207</v>
      </c>
      <c r="C27" s="15" t="s">
        <v>196</v>
      </c>
      <c r="D27" s="15"/>
      <c r="E27" s="26" t="s">
        <v>173</v>
      </c>
      <c r="F27" s="33" t="s">
        <v>231</v>
      </c>
      <c r="G27" s="16"/>
      <c r="H27" s="9" t="s">
        <v>31</v>
      </c>
      <c r="I27" s="1"/>
    </row>
    <row r="28" spans="1:9" ht="14.5" x14ac:dyDescent="0.35">
      <c r="A28" s="6">
        <v>9</v>
      </c>
      <c r="B28" s="25" t="s">
        <v>213</v>
      </c>
      <c r="C28" s="15" t="s">
        <v>197</v>
      </c>
      <c r="D28" s="15"/>
      <c r="E28" s="26" t="s">
        <v>112</v>
      </c>
      <c r="F28" s="33" t="s">
        <v>232</v>
      </c>
      <c r="G28" s="16"/>
      <c r="H28" s="9" t="s">
        <v>32</v>
      </c>
      <c r="I28" s="1"/>
    </row>
    <row r="29" spans="1:9" ht="14.5" x14ac:dyDescent="0.35">
      <c r="A29" s="6">
        <v>10</v>
      </c>
      <c r="B29" s="25" t="s">
        <v>214</v>
      </c>
      <c r="C29" s="15" t="s">
        <v>198</v>
      </c>
      <c r="D29" s="15"/>
      <c r="E29" s="26" t="s">
        <v>115</v>
      </c>
      <c r="F29" s="33" t="s">
        <v>234</v>
      </c>
      <c r="G29" s="16"/>
      <c r="H29" s="9" t="s">
        <v>33</v>
      </c>
      <c r="I29" s="1"/>
    </row>
    <row r="30" spans="1:9" ht="14.5" x14ac:dyDescent="0.35">
      <c r="A30" s="6">
        <v>11</v>
      </c>
      <c r="B30" s="25" t="s">
        <v>215</v>
      </c>
      <c r="C30" s="15" t="s">
        <v>199</v>
      </c>
      <c r="D30" s="15"/>
      <c r="E30" s="26" t="s">
        <v>189</v>
      </c>
      <c r="F30" s="33" t="s">
        <v>235</v>
      </c>
      <c r="G30" s="16"/>
      <c r="H30" s="9" t="s">
        <v>34</v>
      </c>
      <c r="I30" s="1"/>
    </row>
    <row r="31" spans="1:9" ht="14.5" x14ac:dyDescent="0.35">
      <c r="A31" s="6">
        <v>12</v>
      </c>
      <c r="B31" s="25" t="s">
        <v>216</v>
      </c>
      <c r="C31" s="15" t="s">
        <v>208</v>
      </c>
      <c r="D31" s="15"/>
      <c r="E31" s="26" t="s">
        <v>174</v>
      </c>
      <c r="F31" s="33" t="s">
        <v>236</v>
      </c>
      <c r="G31" s="16"/>
      <c r="H31" s="9" t="s">
        <v>35</v>
      </c>
      <c r="I31" s="1"/>
    </row>
    <row r="32" spans="1:9" ht="14.5" x14ac:dyDescent="0.35">
      <c r="A32" s="6">
        <v>13</v>
      </c>
      <c r="B32" s="25" t="s">
        <v>217</v>
      </c>
      <c r="C32" s="15" t="s">
        <v>209</v>
      </c>
      <c r="D32" s="15"/>
      <c r="E32" s="26" t="s">
        <v>114</v>
      </c>
      <c r="F32" s="33" t="s">
        <v>237</v>
      </c>
      <c r="G32" s="16"/>
      <c r="H32" s="9" t="s">
        <v>36</v>
      </c>
      <c r="I32" s="1"/>
    </row>
    <row r="33" spans="1:9" ht="14.5" x14ac:dyDescent="0.35">
      <c r="A33" s="6">
        <v>14</v>
      </c>
      <c r="B33" s="25" t="s">
        <v>218</v>
      </c>
      <c r="C33" s="15" t="s">
        <v>210</v>
      </c>
      <c r="D33" s="15"/>
      <c r="E33" s="26" t="s">
        <v>116</v>
      </c>
      <c r="F33" s="33" t="s">
        <v>242</v>
      </c>
      <c r="G33" s="16"/>
      <c r="H33" s="9" t="s">
        <v>37</v>
      </c>
      <c r="I33" s="1"/>
    </row>
    <row r="34" spans="1:9" ht="14.5" x14ac:dyDescent="0.35">
      <c r="A34" s="6">
        <v>15</v>
      </c>
      <c r="B34" s="25" t="s">
        <v>219</v>
      </c>
      <c r="C34" s="15" t="s">
        <v>211</v>
      </c>
      <c r="D34" s="15"/>
      <c r="E34" s="26" t="s">
        <v>115</v>
      </c>
      <c r="F34" s="33" t="s">
        <v>238</v>
      </c>
      <c r="G34" s="16"/>
      <c r="H34" s="9" t="s">
        <v>38</v>
      </c>
      <c r="I34" s="1"/>
    </row>
    <row r="35" spans="1:9" ht="14.5" x14ac:dyDescent="0.35">
      <c r="A35" s="6">
        <v>16</v>
      </c>
      <c r="B35" s="25" t="s">
        <v>220</v>
      </c>
      <c r="C35" s="15" t="s">
        <v>212</v>
      </c>
      <c r="D35" s="15"/>
      <c r="E35" s="26" t="s">
        <v>174</v>
      </c>
      <c r="F35" s="33" t="s">
        <v>239</v>
      </c>
      <c r="G35" s="16"/>
      <c r="H35" s="9" t="s">
        <v>39</v>
      </c>
      <c r="I35" s="1"/>
    </row>
    <row r="36" spans="1:9" ht="14.5" x14ac:dyDescent="0.35">
      <c r="A36" s="6">
        <v>17</v>
      </c>
      <c r="B36" s="25" t="s">
        <v>221</v>
      </c>
      <c r="C36" s="15" t="s">
        <v>222</v>
      </c>
      <c r="D36" s="15"/>
      <c r="E36" s="26" t="s">
        <v>114</v>
      </c>
      <c r="F36" s="33" t="s">
        <v>241</v>
      </c>
      <c r="G36" s="16"/>
      <c r="H36" s="9" t="s">
        <v>40</v>
      </c>
      <c r="I36" s="1"/>
    </row>
    <row r="37" spans="1:9" ht="14.5" x14ac:dyDescent="0.35">
      <c r="A37" s="6">
        <v>18</v>
      </c>
      <c r="B37" s="25" t="s">
        <v>223</v>
      </c>
      <c r="C37" s="15" t="s">
        <v>224</v>
      </c>
      <c r="D37" s="15"/>
      <c r="E37" s="26" t="s">
        <v>173</v>
      </c>
      <c r="F37" s="33" t="s">
        <v>240</v>
      </c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E40">
    <cfRule type="expression" dxfId="113" priority="7" stopIfTrue="1">
      <formula>MOD(ROW(),2)=0</formula>
    </cfRule>
    <cfRule type="expression" dxfId="112" priority="8" stopIfTrue="1">
      <formula>MOD(ROW(),2)=1</formula>
    </cfRule>
  </conditionalFormatting>
  <conditionalFormatting sqref="C20">
    <cfRule type="expression" dxfId="111" priority="5" stopIfTrue="1">
      <formula>MOD(ROW(),2)=0</formula>
    </cfRule>
    <cfRule type="expression" dxfId="110" priority="6" stopIfTrue="1">
      <formula>MOD(ROW(),2)=1</formula>
    </cfRule>
  </conditionalFormatting>
  <conditionalFormatting sqref="F20:G40">
    <cfRule type="expression" dxfId="109" priority="1" stopIfTrue="1">
      <formula>MOD(ROW(),2)=0</formula>
    </cfRule>
    <cfRule type="expression" dxfId="10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I44"/>
  <sheetViews>
    <sheetView showGridLines="0" topLeftCell="A19" zoomScaleNormal="100" workbookViewId="0">
      <selection activeCell="H34" sqref="H34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52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10773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5255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31">
        <f>470+666+728+1155+1159</f>
        <v>4178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31">
        <v>1077</v>
      </c>
    </row>
    <row r="11" spans="1:9" ht="14" x14ac:dyDescent="0.3">
      <c r="A11" s="5"/>
      <c r="B11" s="23" t="s">
        <v>10</v>
      </c>
      <c r="C11" s="23"/>
      <c r="D11" s="23"/>
      <c r="E11" s="23"/>
      <c r="F11" s="23"/>
      <c r="G11" s="30">
        <v>0.48699999999999999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5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14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4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246</v>
      </c>
      <c r="C20" s="12" t="s">
        <v>247</v>
      </c>
      <c r="D20" s="12" t="s">
        <v>111</v>
      </c>
      <c r="E20" s="26" t="s">
        <v>116</v>
      </c>
      <c r="F20" s="32" t="s">
        <v>277</v>
      </c>
      <c r="G20" s="13"/>
      <c r="H20" s="9" t="s">
        <v>24</v>
      </c>
      <c r="I20" s="1"/>
    </row>
    <row r="21" spans="1:9" ht="14.5" x14ac:dyDescent="0.35">
      <c r="A21" s="6">
        <v>2</v>
      </c>
      <c r="B21" s="25" t="s">
        <v>248</v>
      </c>
      <c r="C21" s="15" t="s">
        <v>249</v>
      </c>
      <c r="D21" s="15"/>
      <c r="E21" s="26" t="s">
        <v>115</v>
      </c>
      <c r="F21" s="33" t="s">
        <v>278</v>
      </c>
      <c r="G21" s="16" t="s">
        <v>119</v>
      </c>
      <c r="H21" s="9" t="s">
        <v>25</v>
      </c>
      <c r="I21" s="1"/>
    </row>
    <row r="22" spans="1:9" ht="14.5" x14ac:dyDescent="0.35">
      <c r="A22" s="6">
        <v>3</v>
      </c>
      <c r="B22" s="25" t="s">
        <v>250</v>
      </c>
      <c r="C22" s="15" t="s">
        <v>251</v>
      </c>
      <c r="D22" s="15" t="s">
        <v>111</v>
      </c>
      <c r="E22" s="26" t="s">
        <v>115</v>
      </c>
      <c r="F22" s="33" t="s">
        <v>279</v>
      </c>
      <c r="G22" s="16" t="s">
        <v>119</v>
      </c>
      <c r="H22" s="9" t="s">
        <v>26</v>
      </c>
      <c r="I22" s="1"/>
    </row>
    <row r="23" spans="1:9" ht="14.5" x14ac:dyDescent="0.35">
      <c r="A23" s="6">
        <v>4</v>
      </c>
      <c r="B23" s="25" t="s">
        <v>252</v>
      </c>
      <c r="C23" s="15" t="s">
        <v>253</v>
      </c>
      <c r="D23" s="15" t="s">
        <v>111</v>
      </c>
      <c r="E23" s="26" t="s">
        <v>118</v>
      </c>
      <c r="F23" s="33" t="s">
        <v>280</v>
      </c>
      <c r="G23" s="16"/>
      <c r="H23" s="9" t="s">
        <v>27</v>
      </c>
      <c r="I23" s="1"/>
    </row>
    <row r="24" spans="1:9" ht="14.5" x14ac:dyDescent="0.35">
      <c r="A24" s="6">
        <v>5</v>
      </c>
      <c r="B24" s="25" t="s">
        <v>254</v>
      </c>
      <c r="C24" s="15" t="s">
        <v>255</v>
      </c>
      <c r="D24" s="15" t="s">
        <v>276</v>
      </c>
      <c r="E24" s="26" t="s">
        <v>173</v>
      </c>
      <c r="F24" s="33" t="s">
        <v>282</v>
      </c>
      <c r="G24" s="16"/>
      <c r="H24" s="9" t="s">
        <v>28</v>
      </c>
      <c r="I24" s="1"/>
    </row>
    <row r="25" spans="1:9" ht="14.5" x14ac:dyDescent="0.35">
      <c r="A25" s="6">
        <v>6</v>
      </c>
      <c r="B25" s="25" t="s">
        <v>256</v>
      </c>
      <c r="C25" s="15" t="s">
        <v>257</v>
      </c>
      <c r="D25" s="15"/>
      <c r="E25" s="26" t="s">
        <v>173</v>
      </c>
      <c r="F25" s="33" t="s">
        <v>283</v>
      </c>
      <c r="G25" s="16"/>
      <c r="H25" s="9" t="s">
        <v>29</v>
      </c>
      <c r="I25" s="1"/>
    </row>
    <row r="26" spans="1:9" ht="14.5" x14ac:dyDescent="0.35">
      <c r="A26" s="6">
        <v>7</v>
      </c>
      <c r="B26" s="25" t="s">
        <v>258</v>
      </c>
      <c r="C26" s="15" t="s">
        <v>259</v>
      </c>
      <c r="D26" s="15" t="s">
        <v>111</v>
      </c>
      <c r="E26" s="26" t="s">
        <v>114</v>
      </c>
      <c r="F26" s="33" t="s">
        <v>284</v>
      </c>
      <c r="G26" s="16"/>
      <c r="H26" s="9" t="s">
        <v>30</v>
      </c>
      <c r="I26" s="1"/>
    </row>
    <row r="27" spans="1:9" ht="14.5" x14ac:dyDescent="0.35">
      <c r="A27" s="6">
        <v>8</v>
      </c>
      <c r="B27" s="25" t="s">
        <v>260</v>
      </c>
      <c r="C27" s="15" t="s">
        <v>261</v>
      </c>
      <c r="D27" s="15"/>
      <c r="E27" s="26" t="s">
        <v>116</v>
      </c>
      <c r="F27" s="33" t="s">
        <v>285</v>
      </c>
      <c r="G27" s="16"/>
      <c r="H27" s="9" t="s">
        <v>31</v>
      </c>
      <c r="I27" s="1"/>
    </row>
    <row r="28" spans="1:9" ht="14.5" x14ac:dyDescent="0.35">
      <c r="A28" s="6">
        <v>9</v>
      </c>
      <c r="B28" s="25" t="s">
        <v>262</v>
      </c>
      <c r="C28" s="15" t="s">
        <v>263</v>
      </c>
      <c r="D28" s="15" t="s">
        <v>111</v>
      </c>
      <c r="E28" s="26" t="s">
        <v>118</v>
      </c>
      <c r="F28" s="33" t="s">
        <v>244</v>
      </c>
      <c r="G28" s="16"/>
      <c r="H28" s="9" t="s">
        <v>32</v>
      </c>
      <c r="I28" s="1"/>
    </row>
    <row r="29" spans="1:9" ht="14.5" x14ac:dyDescent="0.35">
      <c r="A29" s="6">
        <v>10</v>
      </c>
      <c r="B29" s="25" t="s">
        <v>264</v>
      </c>
      <c r="C29" s="15" t="s">
        <v>265</v>
      </c>
      <c r="D29" s="15"/>
      <c r="E29" s="26" t="s">
        <v>115</v>
      </c>
      <c r="F29" s="33" t="s">
        <v>286</v>
      </c>
      <c r="G29" s="16" t="s">
        <v>119</v>
      </c>
      <c r="H29" s="9" t="s">
        <v>33</v>
      </c>
      <c r="I29" s="1"/>
    </row>
    <row r="30" spans="1:9" ht="14.5" x14ac:dyDescent="0.35">
      <c r="A30" s="6">
        <v>11</v>
      </c>
      <c r="B30" s="25" t="s">
        <v>266</v>
      </c>
      <c r="C30" s="15" t="s">
        <v>267</v>
      </c>
      <c r="D30" s="15" t="s">
        <v>111</v>
      </c>
      <c r="E30" s="26" t="s">
        <v>173</v>
      </c>
      <c r="F30" s="33" t="s">
        <v>188</v>
      </c>
      <c r="G30" s="16"/>
      <c r="H30" s="9" t="s">
        <v>34</v>
      </c>
      <c r="I30" s="1"/>
    </row>
    <row r="31" spans="1:9" ht="14.5" x14ac:dyDescent="0.35">
      <c r="A31" s="6">
        <v>12</v>
      </c>
      <c r="B31" s="25" t="s">
        <v>268</v>
      </c>
      <c r="C31" s="15" t="s">
        <v>269</v>
      </c>
      <c r="D31" s="15"/>
      <c r="E31" s="26" t="s">
        <v>114</v>
      </c>
      <c r="F31" s="33" t="s">
        <v>287</v>
      </c>
      <c r="G31" s="16"/>
      <c r="H31" s="9" t="s">
        <v>35</v>
      </c>
      <c r="I31" s="1"/>
    </row>
    <row r="32" spans="1:9" ht="14.5" x14ac:dyDescent="0.35">
      <c r="A32" s="6">
        <v>13</v>
      </c>
      <c r="B32" s="25" t="s">
        <v>270</v>
      </c>
      <c r="C32" s="15" t="s">
        <v>271</v>
      </c>
      <c r="D32" s="15"/>
      <c r="E32" s="26" t="s">
        <v>114</v>
      </c>
      <c r="F32" s="33" t="s">
        <v>288</v>
      </c>
      <c r="G32" s="16"/>
      <c r="H32" s="9" t="s">
        <v>36</v>
      </c>
      <c r="I32" s="1"/>
    </row>
    <row r="33" spans="1:9" ht="14.5" x14ac:dyDescent="0.35">
      <c r="A33" s="6">
        <v>14</v>
      </c>
      <c r="B33" s="25" t="s">
        <v>272</v>
      </c>
      <c r="C33" s="15" t="s">
        <v>273</v>
      </c>
      <c r="D33" s="15" t="s">
        <v>111</v>
      </c>
      <c r="E33" s="26" t="s">
        <v>118</v>
      </c>
      <c r="F33" s="33" t="s">
        <v>289</v>
      </c>
      <c r="G33" s="16"/>
      <c r="H33" s="9" t="s">
        <v>37</v>
      </c>
      <c r="I33" s="1"/>
    </row>
    <row r="34" spans="1:9" ht="14.5" x14ac:dyDescent="0.35">
      <c r="A34" s="6">
        <v>15</v>
      </c>
      <c r="B34" s="25" t="s">
        <v>274</v>
      </c>
      <c r="C34" s="15" t="s">
        <v>275</v>
      </c>
      <c r="D34" s="15"/>
      <c r="E34" s="26" t="s">
        <v>116</v>
      </c>
      <c r="F34" s="33" t="s">
        <v>290</v>
      </c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E40">
    <cfRule type="expression" dxfId="107" priority="7" stopIfTrue="1">
      <formula>MOD(ROW(),2)=0</formula>
    </cfRule>
    <cfRule type="expression" dxfId="106" priority="8" stopIfTrue="1">
      <formula>MOD(ROW(),2)=1</formula>
    </cfRule>
  </conditionalFormatting>
  <conditionalFormatting sqref="C20">
    <cfRule type="expression" dxfId="105" priority="5" stopIfTrue="1">
      <formula>MOD(ROW(),2)=0</formula>
    </cfRule>
    <cfRule type="expression" dxfId="104" priority="6" stopIfTrue="1">
      <formula>MOD(ROW(),2)=1</formula>
    </cfRule>
  </conditionalFormatting>
  <conditionalFormatting sqref="F20:G40">
    <cfRule type="expression" dxfId="103" priority="1" stopIfTrue="1">
      <formula>MOD(ROW(),2)=0</formula>
    </cfRule>
    <cfRule type="expression" dxfId="10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I44"/>
  <sheetViews>
    <sheetView showGridLines="0" topLeftCell="A19" zoomScaleNormal="100" workbookViewId="0">
      <selection activeCell="H32" sqref="H32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53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10206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4490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31">
        <f>1487+1105+913</f>
        <v>3505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31">
        <v>985</v>
      </c>
    </row>
    <row r="11" spans="1:9" ht="14.5" thickBot="1" x14ac:dyDescent="0.35">
      <c r="A11" s="5"/>
      <c r="B11" s="23" t="s">
        <v>10</v>
      </c>
      <c r="C11" s="23"/>
      <c r="D11" s="23"/>
      <c r="E11" s="23"/>
      <c r="F11" s="23"/>
      <c r="G11" s="36">
        <v>0.439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9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1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4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4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291</v>
      </c>
      <c r="C20" s="12" t="s">
        <v>292</v>
      </c>
      <c r="D20" s="12"/>
      <c r="E20" s="26" t="s">
        <v>112</v>
      </c>
      <c r="F20" s="32" t="s">
        <v>326</v>
      </c>
      <c r="G20" s="13"/>
      <c r="H20" s="9" t="s">
        <v>24</v>
      </c>
      <c r="I20" s="1"/>
    </row>
    <row r="21" spans="1:9" ht="14.5" x14ac:dyDescent="0.35">
      <c r="A21" s="6">
        <v>2</v>
      </c>
      <c r="B21" s="25" t="s">
        <v>293</v>
      </c>
      <c r="C21" s="15" t="s">
        <v>294</v>
      </c>
      <c r="D21" s="15" t="s">
        <v>109</v>
      </c>
      <c r="E21" s="26" t="s">
        <v>174</v>
      </c>
      <c r="F21" s="33" t="s">
        <v>327</v>
      </c>
      <c r="G21" s="16"/>
      <c r="H21" s="9" t="s">
        <v>25</v>
      </c>
      <c r="I21" s="1"/>
    </row>
    <row r="22" spans="1:9" ht="14.5" x14ac:dyDescent="0.35">
      <c r="A22" s="6">
        <v>3</v>
      </c>
      <c r="B22" s="25" t="s">
        <v>295</v>
      </c>
      <c r="C22" s="15" t="s">
        <v>296</v>
      </c>
      <c r="D22" s="15"/>
      <c r="E22" s="26" t="s">
        <v>115</v>
      </c>
      <c r="F22" s="33" t="s">
        <v>328</v>
      </c>
      <c r="G22" s="16" t="s">
        <v>119</v>
      </c>
      <c r="H22" s="9" t="s">
        <v>26</v>
      </c>
      <c r="I22" s="1"/>
    </row>
    <row r="23" spans="1:9" ht="14.5" x14ac:dyDescent="0.35">
      <c r="A23" s="6">
        <v>4</v>
      </c>
      <c r="B23" s="25" t="s">
        <v>297</v>
      </c>
      <c r="C23" s="15" t="s">
        <v>298</v>
      </c>
      <c r="D23" s="15"/>
      <c r="E23" s="26" t="s">
        <v>116</v>
      </c>
      <c r="F23" s="33" t="s">
        <v>329</v>
      </c>
      <c r="G23" s="16"/>
      <c r="H23" s="9" t="s">
        <v>27</v>
      </c>
      <c r="I23" s="1"/>
    </row>
    <row r="24" spans="1:9" ht="14.5" x14ac:dyDescent="0.35">
      <c r="A24" s="6">
        <v>5</v>
      </c>
      <c r="B24" s="25" t="s">
        <v>299</v>
      </c>
      <c r="C24" s="15" t="s">
        <v>300</v>
      </c>
      <c r="D24" s="15" t="s">
        <v>109</v>
      </c>
      <c r="E24" s="26" t="s">
        <v>116</v>
      </c>
      <c r="F24" s="33" t="s">
        <v>330</v>
      </c>
      <c r="G24" s="16"/>
      <c r="H24" s="9" t="s">
        <v>28</v>
      </c>
      <c r="I24" s="1"/>
    </row>
    <row r="25" spans="1:9" ht="14.5" x14ac:dyDescent="0.35">
      <c r="A25" s="6">
        <v>6</v>
      </c>
      <c r="B25" s="25" t="s">
        <v>301</v>
      </c>
      <c r="C25" s="15" t="s">
        <v>302</v>
      </c>
      <c r="D25" s="15"/>
      <c r="E25" s="26" t="s">
        <v>113</v>
      </c>
      <c r="F25" s="33" t="s">
        <v>331</v>
      </c>
      <c r="G25" s="16"/>
      <c r="H25" s="9" t="s">
        <v>29</v>
      </c>
      <c r="I25" s="1"/>
    </row>
    <row r="26" spans="1:9" ht="14.5" x14ac:dyDescent="0.35">
      <c r="A26" s="6">
        <v>7</v>
      </c>
      <c r="B26" s="25" t="s">
        <v>303</v>
      </c>
      <c r="C26" s="15" t="s">
        <v>304</v>
      </c>
      <c r="D26" s="15"/>
      <c r="E26" s="26" t="s">
        <v>116</v>
      </c>
      <c r="F26" s="33" t="s">
        <v>332</v>
      </c>
      <c r="G26" s="16"/>
      <c r="H26" s="9" t="s">
        <v>30</v>
      </c>
      <c r="I26" s="1"/>
    </row>
    <row r="27" spans="1:9" ht="14.5" x14ac:dyDescent="0.35">
      <c r="A27" s="6">
        <v>8</v>
      </c>
      <c r="B27" s="25" t="s">
        <v>305</v>
      </c>
      <c r="C27" s="15" t="s">
        <v>306</v>
      </c>
      <c r="D27" s="15"/>
      <c r="E27" s="26" t="s">
        <v>112</v>
      </c>
      <c r="F27" s="33" t="s">
        <v>243</v>
      </c>
      <c r="G27" s="16"/>
      <c r="H27" s="9" t="s">
        <v>31</v>
      </c>
      <c r="I27" s="1"/>
    </row>
    <row r="28" spans="1:9" ht="14.5" x14ac:dyDescent="0.35">
      <c r="A28" s="6">
        <v>9</v>
      </c>
      <c r="B28" s="25" t="s">
        <v>307</v>
      </c>
      <c r="C28" s="15" t="s">
        <v>308</v>
      </c>
      <c r="D28" s="15"/>
      <c r="E28" s="26" t="s">
        <v>113</v>
      </c>
      <c r="F28" s="33" t="s">
        <v>333</v>
      </c>
      <c r="G28" s="16"/>
      <c r="H28" s="9" t="s">
        <v>32</v>
      </c>
      <c r="I28" s="1"/>
    </row>
    <row r="29" spans="1:9" ht="14.5" x14ac:dyDescent="0.35">
      <c r="A29" s="6">
        <v>10</v>
      </c>
      <c r="B29" s="25" t="s">
        <v>309</v>
      </c>
      <c r="C29" s="15" t="s">
        <v>310</v>
      </c>
      <c r="D29" s="15"/>
      <c r="E29" s="26" t="s">
        <v>189</v>
      </c>
      <c r="F29" s="33" t="s">
        <v>334</v>
      </c>
      <c r="G29" s="16"/>
      <c r="H29" s="9" t="s">
        <v>33</v>
      </c>
      <c r="I29" s="1"/>
    </row>
    <row r="30" spans="1:9" ht="14.5" x14ac:dyDescent="0.35">
      <c r="A30" s="6">
        <v>11</v>
      </c>
      <c r="B30" s="25" t="s">
        <v>311</v>
      </c>
      <c r="C30" s="15" t="s">
        <v>312</v>
      </c>
      <c r="D30" s="15" t="s">
        <v>109</v>
      </c>
      <c r="E30" s="26" t="s">
        <v>113</v>
      </c>
      <c r="F30" s="33" t="s">
        <v>335</v>
      </c>
      <c r="G30" s="16"/>
      <c r="H30" s="9" t="s">
        <v>34</v>
      </c>
      <c r="I30" s="1"/>
    </row>
    <row r="31" spans="1:9" ht="14.5" x14ac:dyDescent="0.35">
      <c r="A31" s="6">
        <v>12</v>
      </c>
      <c r="B31" s="25" t="s">
        <v>313</v>
      </c>
      <c r="C31" s="15" t="s">
        <v>314</v>
      </c>
      <c r="D31" s="15"/>
      <c r="E31" s="26" t="s">
        <v>115</v>
      </c>
      <c r="F31" s="33" t="s">
        <v>336</v>
      </c>
      <c r="G31" s="16" t="s">
        <v>119</v>
      </c>
      <c r="H31" s="9" t="s">
        <v>35</v>
      </c>
      <c r="I31" s="1"/>
    </row>
    <row r="32" spans="1:9" ht="14.5" x14ac:dyDescent="0.35">
      <c r="A32" s="6">
        <v>13</v>
      </c>
      <c r="B32" s="25" t="s">
        <v>315</v>
      </c>
      <c r="C32" s="15" t="s">
        <v>319</v>
      </c>
      <c r="D32" s="15"/>
      <c r="E32" s="26" t="s">
        <v>112</v>
      </c>
      <c r="F32" s="33" t="s">
        <v>337</v>
      </c>
      <c r="G32" s="16"/>
      <c r="H32" s="9" t="s">
        <v>36</v>
      </c>
      <c r="I32" s="1"/>
    </row>
    <row r="33" spans="1:9" ht="14.5" x14ac:dyDescent="0.35">
      <c r="A33" s="6">
        <v>14</v>
      </c>
      <c r="B33" s="25" t="s">
        <v>316</v>
      </c>
      <c r="C33" s="15" t="s">
        <v>317</v>
      </c>
      <c r="D33" s="15" t="s">
        <v>109</v>
      </c>
      <c r="E33" s="26" t="s">
        <v>114</v>
      </c>
      <c r="F33" s="33" t="s">
        <v>338</v>
      </c>
      <c r="G33" s="16"/>
      <c r="H33" s="9" t="s">
        <v>37</v>
      </c>
      <c r="I33" s="1"/>
    </row>
    <row r="34" spans="1:9" ht="14.5" x14ac:dyDescent="0.35">
      <c r="A34" s="6">
        <v>15</v>
      </c>
      <c r="B34" s="25" t="s">
        <v>320</v>
      </c>
      <c r="C34" s="15" t="s">
        <v>318</v>
      </c>
      <c r="D34" s="15"/>
      <c r="E34" s="26" t="s">
        <v>189</v>
      </c>
      <c r="F34" s="33" t="s">
        <v>339</v>
      </c>
      <c r="G34" s="16"/>
      <c r="H34" s="9" t="s">
        <v>38</v>
      </c>
      <c r="I34" s="1"/>
    </row>
    <row r="35" spans="1:9" ht="14.5" x14ac:dyDescent="0.35">
      <c r="A35" s="6">
        <v>16</v>
      </c>
      <c r="B35" s="25" t="s">
        <v>270</v>
      </c>
      <c r="C35" s="15" t="s">
        <v>321</v>
      </c>
      <c r="D35" s="15" t="s">
        <v>111</v>
      </c>
      <c r="E35" s="26" t="s">
        <v>114</v>
      </c>
      <c r="F35" s="33" t="s">
        <v>340</v>
      </c>
      <c r="G35" s="16"/>
      <c r="H35" s="9" t="s">
        <v>39</v>
      </c>
      <c r="I35" s="1"/>
    </row>
    <row r="36" spans="1:9" ht="14.5" x14ac:dyDescent="0.35">
      <c r="A36" s="6">
        <v>17</v>
      </c>
      <c r="B36" s="25" t="s">
        <v>322</v>
      </c>
      <c r="C36" s="15" t="s">
        <v>323</v>
      </c>
      <c r="D36" s="15"/>
      <c r="E36" s="26" t="s">
        <v>115</v>
      </c>
      <c r="F36" s="33" t="s">
        <v>341</v>
      </c>
      <c r="G36" s="16" t="s">
        <v>119</v>
      </c>
      <c r="H36" s="9" t="s">
        <v>40</v>
      </c>
      <c r="I36" s="1"/>
    </row>
    <row r="37" spans="1:9" ht="14.5" x14ac:dyDescent="0.35">
      <c r="A37" s="6">
        <v>18</v>
      </c>
      <c r="B37" s="25" t="s">
        <v>324</v>
      </c>
      <c r="C37" s="15" t="s">
        <v>325</v>
      </c>
      <c r="D37" s="15"/>
      <c r="E37" s="26" t="s">
        <v>114</v>
      </c>
      <c r="F37" s="33" t="s">
        <v>342</v>
      </c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E40">
    <cfRule type="expression" dxfId="101" priority="7" stopIfTrue="1">
      <formula>MOD(ROW(),2)=0</formula>
    </cfRule>
    <cfRule type="expression" dxfId="100" priority="8" stopIfTrue="1">
      <formula>MOD(ROW(),2)=1</formula>
    </cfRule>
  </conditionalFormatting>
  <conditionalFormatting sqref="C20">
    <cfRule type="expression" dxfId="99" priority="5" stopIfTrue="1">
      <formula>MOD(ROW(),2)=0</formula>
    </cfRule>
    <cfRule type="expression" dxfId="98" priority="6" stopIfTrue="1">
      <formula>MOD(ROW(),2)=1</formula>
    </cfRule>
  </conditionalFormatting>
  <conditionalFormatting sqref="F20:G40">
    <cfRule type="expression" dxfId="97" priority="1" stopIfTrue="1">
      <formula>MOD(ROW(),2)=0</formula>
    </cfRule>
    <cfRule type="expression" dxfId="9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I44"/>
  <sheetViews>
    <sheetView showGridLines="0" topLeftCell="A18" zoomScaleNormal="100" workbookViewId="0">
      <selection activeCell="H29" sqref="H29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54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9574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3307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31">
        <f>640+722+1325</f>
        <v>2687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31">
        <v>620</v>
      </c>
    </row>
    <row r="11" spans="1:9" ht="14.5" thickBot="1" x14ac:dyDescent="0.35">
      <c r="A11" s="5"/>
      <c r="B11" s="23" t="s">
        <v>10</v>
      </c>
      <c r="C11" s="23"/>
      <c r="D11" s="23"/>
      <c r="E11" s="23"/>
      <c r="F11" s="23"/>
      <c r="G11" s="36">
        <v>0.34499999999999997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9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2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70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343</v>
      </c>
      <c r="C20" s="12" t="s">
        <v>372</v>
      </c>
      <c r="D20" s="12" t="s">
        <v>109</v>
      </c>
      <c r="E20" s="26" t="s">
        <v>189</v>
      </c>
      <c r="F20" s="32" t="s">
        <v>373</v>
      </c>
      <c r="G20" s="13"/>
      <c r="H20" s="9" t="s">
        <v>24</v>
      </c>
      <c r="I20" s="1"/>
    </row>
    <row r="21" spans="1:9" ht="14.5" x14ac:dyDescent="0.35">
      <c r="A21" s="6">
        <v>2</v>
      </c>
      <c r="B21" s="25" t="s">
        <v>344</v>
      </c>
      <c r="C21" s="15" t="s">
        <v>345</v>
      </c>
      <c r="D21" s="15"/>
      <c r="E21" s="26" t="s">
        <v>174</v>
      </c>
      <c r="F21" s="33" t="s">
        <v>374</v>
      </c>
      <c r="G21" s="16"/>
      <c r="H21" s="9" t="s">
        <v>25</v>
      </c>
      <c r="I21" s="1"/>
    </row>
    <row r="22" spans="1:9" ht="14.5" x14ac:dyDescent="0.35">
      <c r="A22" s="6">
        <v>3</v>
      </c>
      <c r="B22" s="25" t="s">
        <v>346</v>
      </c>
      <c r="C22" s="15" t="s">
        <v>347</v>
      </c>
      <c r="D22" s="15" t="s">
        <v>109</v>
      </c>
      <c r="E22" s="26" t="s">
        <v>173</v>
      </c>
      <c r="F22" s="33" t="s">
        <v>375</v>
      </c>
      <c r="G22" s="16"/>
      <c r="H22" s="9" t="s">
        <v>26</v>
      </c>
      <c r="I22" s="1"/>
    </row>
    <row r="23" spans="1:9" ht="14.5" x14ac:dyDescent="0.35">
      <c r="A23" s="6">
        <v>4</v>
      </c>
      <c r="B23" s="25" t="s">
        <v>348</v>
      </c>
      <c r="C23" s="15" t="s">
        <v>349</v>
      </c>
      <c r="D23" s="15"/>
      <c r="E23" s="26" t="s">
        <v>114</v>
      </c>
      <c r="F23" s="33" t="s">
        <v>376</v>
      </c>
      <c r="G23" s="16"/>
      <c r="H23" s="9" t="s">
        <v>27</v>
      </c>
      <c r="I23" s="1"/>
    </row>
    <row r="24" spans="1:9" ht="14.5" x14ac:dyDescent="0.35">
      <c r="A24" s="6">
        <v>5</v>
      </c>
      <c r="B24" s="25" t="s">
        <v>350</v>
      </c>
      <c r="C24" s="15" t="s">
        <v>351</v>
      </c>
      <c r="D24" s="15" t="s">
        <v>109</v>
      </c>
      <c r="E24" s="26" t="s">
        <v>173</v>
      </c>
      <c r="F24" s="33" t="s">
        <v>379</v>
      </c>
      <c r="G24" s="16"/>
      <c r="H24" s="9" t="s">
        <v>28</v>
      </c>
      <c r="I24" s="1"/>
    </row>
    <row r="25" spans="1:9" ht="14.5" x14ac:dyDescent="0.35">
      <c r="A25" s="6">
        <v>6</v>
      </c>
      <c r="B25" s="25" t="s">
        <v>352</v>
      </c>
      <c r="C25" s="15" t="s">
        <v>353</v>
      </c>
      <c r="D25" s="15"/>
      <c r="E25" s="26" t="s">
        <v>112</v>
      </c>
      <c r="F25" s="33" t="s">
        <v>377</v>
      </c>
      <c r="G25" s="16" t="s">
        <v>119</v>
      </c>
      <c r="H25" s="9" t="s">
        <v>29</v>
      </c>
      <c r="I25" s="1"/>
    </row>
    <row r="26" spans="1:9" ht="14.5" x14ac:dyDescent="0.35">
      <c r="A26" s="6">
        <v>7</v>
      </c>
      <c r="B26" s="25" t="s">
        <v>354</v>
      </c>
      <c r="C26" s="15" t="s">
        <v>355</v>
      </c>
      <c r="D26" s="15"/>
      <c r="E26" s="26" t="s">
        <v>115</v>
      </c>
      <c r="F26" s="33" t="s">
        <v>378</v>
      </c>
      <c r="G26" s="16" t="s">
        <v>119</v>
      </c>
      <c r="H26" s="9" t="s">
        <v>30</v>
      </c>
      <c r="I26" s="1"/>
    </row>
    <row r="27" spans="1:9" ht="14.5" x14ac:dyDescent="0.35">
      <c r="A27" s="6">
        <v>8</v>
      </c>
      <c r="B27" s="25" t="s">
        <v>356</v>
      </c>
      <c r="C27" s="15" t="s">
        <v>357</v>
      </c>
      <c r="D27" s="15"/>
      <c r="E27" s="26" t="s">
        <v>112</v>
      </c>
      <c r="F27" s="33" t="s">
        <v>381</v>
      </c>
      <c r="G27" s="16"/>
      <c r="H27" s="9" t="s">
        <v>31</v>
      </c>
      <c r="I27" s="1"/>
    </row>
    <row r="28" spans="1:9" ht="14.5" x14ac:dyDescent="0.35">
      <c r="A28" s="6">
        <v>9</v>
      </c>
      <c r="B28" s="25" t="s">
        <v>358</v>
      </c>
      <c r="C28" s="15" t="s">
        <v>359</v>
      </c>
      <c r="D28" s="15"/>
      <c r="E28" s="26" t="s">
        <v>115</v>
      </c>
      <c r="F28" s="33" t="s">
        <v>382</v>
      </c>
      <c r="G28" s="16" t="s">
        <v>119</v>
      </c>
      <c r="H28" s="9" t="s">
        <v>32</v>
      </c>
      <c r="I28" s="1"/>
    </row>
    <row r="29" spans="1:9" ht="14.5" x14ac:dyDescent="0.35">
      <c r="A29" s="6">
        <v>10</v>
      </c>
      <c r="B29" s="25" t="s">
        <v>360</v>
      </c>
      <c r="C29" s="15" t="s">
        <v>361</v>
      </c>
      <c r="D29" s="15"/>
      <c r="E29" s="26" t="s">
        <v>112</v>
      </c>
      <c r="F29" s="33" t="s">
        <v>383</v>
      </c>
      <c r="G29" s="16"/>
      <c r="H29" s="9" t="s">
        <v>33</v>
      </c>
      <c r="I29" s="1"/>
    </row>
    <row r="30" spans="1:9" ht="14.5" x14ac:dyDescent="0.35">
      <c r="A30" s="6">
        <v>11</v>
      </c>
      <c r="B30" s="25" t="s">
        <v>362</v>
      </c>
      <c r="C30" s="15" t="s">
        <v>363</v>
      </c>
      <c r="D30" s="15" t="s">
        <v>109</v>
      </c>
      <c r="E30" s="26" t="s">
        <v>174</v>
      </c>
      <c r="F30" s="33" t="s">
        <v>384</v>
      </c>
      <c r="G30" s="16"/>
      <c r="H30" s="9" t="s">
        <v>34</v>
      </c>
      <c r="I30" s="1"/>
    </row>
    <row r="31" spans="1:9" ht="14.5" x14ac:dyDescent="0.35">
      <c r="A31" s="6">
        <v>12</v>
      </c>
      <c r="B31" s="25" t="s">
        <v>364</v>
      </c>
      <c r="C31" s="15" t="s">
        <v>365</v>
      </c>
      <c r="D31" s="15"/>
      <c r="E31" s="26" t="s">
        <v>115</v>
      </c>
      <c r="F31" s="33" t="s">
        <v>230</v>
      </c>
      <c r="G31" s="16"/>
      <c r="H31" s="9" t="s">
        <v>35</v>
      </c>
      <c r="I31" s="1"/>
    </row>
    <row r="32" spans="1:9" ht="14.5" x14ac:dyDescent="0.35">
      <c r="A32" s="6">
        <v>13</v>
      </c>
      <c r="B32" s="25" t="s">
        <v>366</v>
      </c>
      <c r="C32" s="15" t="s">
        <v>367</v>
      </c>
      <c r="D32" s="15"/>
      <c r="E32" s="26" t="s">
        <v>116</v>
      </c>
      <c r="F32" s="33" t="s">
        <v>385</v>
      </c>
      <c r="G32" s="16"/>
      <c r="H32" s="9" t="s">
        <v>36</v>
      </c>
      <c r="I32" s="1"/>
    </row>
    <row r="33" spans="1:9" ht="14.5" x14ac:dyDescent="0.35">
      <c r="A33" s="6">
        <v>14</v>
      </c>
      <c r="B33" s="25" t="s">
        <v>368</v>
      </c>
      <c r="C33" s="15" t="s">
        <v>369</v>
      </c>
      <c r="D33" s="15" t="s">
        <v>109</v>
      </c>
      <c r="E33" s="26" t="s">
        <v>174</v>
      </c>
      <c r="F33" s="33" t="s">
        <v>386</v>
      </c>
      <c r="G33" s="16"/>
      <c r="H33" s="9" t="s">
        <v>37</v>
      </c>
      <c r="I33" s="1"/>
    </row>
    <row r="34" spans="1:9" ht="14.5" x14ac:dyDescent="0.35">
      <c r="A34" s="6">
        <v>15</v>
      </c>
      <c r="B34" s="25" t="s">
        <v>370</v>
      </c>
      <c r="C34" s="15" t="s">
        <v>371</v>
      </c>
      <c r="D34" s="15" t="s">
        <v>109</v>
      </c>
      <c r="E34" s="26" t="s">
        <v>173</v>
      </c>
      <c r="F34" s="33" t="s">
        <v>387</v>
      </c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E40">
    <cfRule type="expression" dxfId="95" priority="7" stopIfTrue="1">
      <formula>MOD(ROW(),2)=0</formula>
    </cfRule>
    <cfRule type="expression" dxfId="94" priority="8" stopIfTrue="1">
      <formula>MOD(ROW(),2)=1</formula>
    </cfRule>
  </conditionalFormatting>
  <conditionalFormatting sqref="C20">
    <cfRule type="expression" dxfId="93" priority="5" stopIfTrue="1">
      <formula>MOD(ROW(),2)=0</formula>
    </cfRule>
    <cfRule type="expression" dxfId="92" priority="6" stopIfTrue="1">
      <formula>MOD(ROW(),2)=1</formula>
    </cfRule>
  </conditionalFormatting>
  <conditionalFormatting sqref="F20:G40">
    <cfRule type="expression" dxfId="91" priority="1" stopIfTrue="1">
      <formula>MOD(ROW(),2)=0</formula>
    </cfRule>
    <cfRule type="expression" dxfId="9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44"/>
  <sheetViews>
    <sheetView showGridLines="0" topLeftCell="A19" zoomScaleNormal="100" workbookViewId="0">
      <selection activeCell="F35" sqref="F35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55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9865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3800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31">
        <f>973+458+428+528+811</f>
        <v>3198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31">
        <v>602</v>
      </c>
    </row>
    <row r="11" spans="1:9" ht="14.5" thickBot="1" x14ac:dyDescent="0.35">
      <c r="A11" s="5"/>
      <c r="B11" s="23" t="s">
        <v>10</v>
      </c>
      <c r="C11" s="23"/>
      <c r="D11" s="23"/>
      <c r="E11" s="23"/>
      <c r="F11" s="23"/>
      <c r="G11" s="36">
        <v>0.38500000000000001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11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3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161</v>
      </c>
      <c r="C20" s="12" t="s">
        <v>388</v>
      </c>
      <c r="D20" s="12"/>
      <c r="E20" s="26" t="s">
        <v>115</v>
      </c>
      <c r="F20" s="27">
        <v>1143</v>
      </c>
      <c r="G20" s="13" t="s">
        <v>119</v>
      </c>
      <c r="H20" s="9" t="s">
        <v>24</v>
      </c>
      <c r="I20" s="1"/>
    </row>
    <row r="21" spans="1:9" ht="14.5" x14ac:dyDescent="0.35">
      <c r="A21" s="6">
        <v>2</v>
      </c>
      <c r="B21" s="25" t="s">
        <v>389</v>
      </c>
      <c r="C21" s="15" t="s">
        <v>413</v>
      </c>
      <c r="D21" s="15"/>
      <c r="E21" s="26" t="s">
        <v>118</v>
      </c>
      <c r="F21" s="28">
        <v>718</v>
      </c>
      <c r="G21" s="16"/>
      <c r="H21" s="9" t="s">
        <v>25</v>
      </c>
      <c r="I21" s="1"/>
    </row>
    <row r="22" spans="1:9" ht="14.5" x14ac:dyDescent="0.35">
      <c r="A22" s="6">
        <v>3</v>
      </c>
      <c r="B22" s="25" t="s">
        <v>390</v>
      </c>
      <c r="C22" s="15" t="s">
        <v>391</v>
      </c>
      <c r="D22" s="15"/>
      <c r="E22" s="26" t="s">
        <v>112</v>
      </c>
      <c r="F22" s="28">
        <v>1088</v>
      </c>
      <c r="G22" s="16" t="s">
        <v>119</v>
      </c>
      <c r="H22" s="9" t="s">
        <v>26</v>
      </c>
      <c r="I22" s="1"/>
    </row>
    <row r="23" spans="1:9" ht="14.5" x14ac:dyDescent="0.35">
      <c r="A23" s="6">
        <v>4</v>
      </c>
      <c r="B23" s="25" t="s">
        <v>352</v>
      </c>
      <c r="C23" s="15" t="s">
        <v>392</v>
      </c>
      <c r="D23" s="15"/>
      <c r="E23" s="26" t="s">
        <v>112</v>
      </c>
      <c r="F23" s="27">
        <v>1200</v>
      </c>
      <c r="G23" s="16" t="s">
        <v>119</v>
      </c>
      <c r="H23" s="9" t="s">
        <v>27</v>
      </c>
      <c r="I23" s="1"/>
    </row>
    <row r="24" spans="1:9" ht="14.5" x14ac:dyDescent="0.35">
      <c r="A24" s="6">
        <v>5</v>
      </c>
      <c r="B24" s="25" t="s">
        <v>393</v>
      </c>
      <c r="C24" s="15" t="s">
        <v>394</v>
      </c>
      <c r="D24" s="15"/>
      <c r="E24" s="26" t="s">
        <v>115</v>
      </c>
      <c r="F24" s="28">
        <v>898</v>
      </c>
      <c r="G24" s="16"/>
      <c r="H24" s="9" t="s">
        <v>28</v>
      </c>
      <c r="I24" s="1"/>
    </row>
    <row r="25" spans="1:9" ht="14.5" x14ac:dyDescent="0.35">
      <c r="A25" s="6">
        <v>6</v>
      </c>
      <c r="B25" s="25" t="s">
        <v>395</v>
      </c>
      <c r="C25" s="15" t="s">
        <v>396</v>
      </c>
      <c r="D25" s="15" t="s">
        <v>109</v>
      </c>
      <c r="E25" s="26" t="s">
        <v>114</v>
      </c>
      <c r="F25" s="28">
        <v>239</v>
      </c>
      <c r="G25" s="16"/>
      <c r="H25" s="9" t="s">
        <v>29</v>
      </c>
      <c r="I25" s="1"/>
    </row>
    <row r="26" spans="1:9" ht="14.5" x14ac:dyDescent="0.35">
      <c r="A26" s="6">
        <v>7</v>
      </c>
      <c r="B26" s="25" t="s">
        <v>397</v>
      </c>
      <c r="C26" s="15" t="s">
        <v>398</v>
      </c>
      <c r="D26" s="15" t="s">
        <v>109</v>
      </c>
      <c r="E26" s="26" t="s">
        <v>115</v>
      </c>
      <c r="F26" s="27">
        <v>935</v>
      </c>
      <c r="G26" s="16"/>
      <c r="H26" s="9" t="s">
        <v>30</v>
      </c>
      <c r="I26" s="1"/>
    </row>
    <row r="27" spans="1:9" ht="14.5" x14ac:dyDescent="0.35">
      <c r="A27" s="6">
        <v>8</v>
      </c>
      <c r="B27" s="25" t="s">
        <v>399</v>
      </c>
      <c r="C27" s="15" t="s">
        <v>135</v>
      </c>
      <c r="D27" s="15"/>
      <c r="E27" s="26" t="s">
        <v>116</v>
      </c>
      <c r="F27" s="28">
        <v>273</v>
      </c>
      <c r="G27" s="16"/>
      <c r="H27" s="9" t="s">
        <v>31</v>
      </c>
      <c r="I27" s="1"/>
    </row>
    <row r="28" spans="1:9" ht="14.5" x14ac:dyDescent="0.35">
      <c r="A28" s="6">
        <v>9</v>
      </c>
      <c r="B28" s="25" t="s">
        <v>400</v>
      </c>
      <c r="C28" s="15" t="s">
        <v>401</v>
      </c>
      <c r="D28" s="15"/>
      <c r="E28" s="26" t="s">
        <v>174</v>
      </c>
      <c r="F28" s="28">
        <v>651</v>
      </c>
      <c r="G28" s="16"/>
      <c r="H28" s="9" t="s">
        <v>32</v>
      </c>
      <c r="I28" s="1"/>
    </row>
    <row r="29" spans="1:9" ht="14.5" x14ac:dyDescent="0.35">
      <c r="A29" s="6">
        <v>10</v>
      </c>
      <c r="B29" s="25" t="s">
        <v>402</v>
      </c>
      <c r="C29" s="15" t="s">
        <v>403</v>
      </c>
      <c r="D29" s="15" t="s">
        <v>109</v>
      </c>
      <c r="E29" s="26" t="s">
        <v>113</v>
      </c>
      <c r="F29" s="27">
        <v>610</v>
      </c>
      <c r="G29" s="16"/>
      <c r="H29" s="9" t="s">
        <v>33</v>
      </c>
      <c r="I29" s="1"/>
    </row>
    <row r="30" spans="1:9" ht="14.5" x14ac:dyDescent="0.35">
      <c r="A30" s="6">
        <v>11</v>
      </c>
      <c r="B30" s="25" t="s">
        <v>404</v>
      </c>
      <c r="C30" s="15" t="s">
        <v>405</v>
      </c>
      <c r="D30" s="15"/>
      <c r="E30" s="26" t="s">
        <v>112</v>
      </c>
      <c r="F30" s="28">
        <v>911</v>
      </c>
      <c r="G30" s="16"/>
      <c r="H30" s="9" t="s">
        <v>34</v>
      </c>
      <c r="I30" s="1"/>
    </row>
    <row r="31" spans="1:9" ht="14.5" x14ac:dyDescent="0.35">
      <c r="A31" s="6">
        <v>12</v>
      </c>
      <c r="B31" s="25" t="s">
        <v>406</v>
      </c>
      <c r="C31" s="15" t="s">
        <v>407</v>
      </c>
      <c r="D31" s="15" t="s">
        <v>111</v>
      </c>
      <c r="E31" s="26" t="s">
        <v>118</v>
      </c>
      <c r="F31" s="28">
        <v>280</v>
      </c>
      <c r="G31" s="16"/>
      <c r="H31" s="9" t="s">
        <v>35</v>
      </c>
      <c r="I31" s="1"/>
    </row>
    <row r="32" spans="1:9" ht="14.5" x14ac:dyDescent="0.35">
      <c r="A32" s="6">
        <v>13</v>
      </c>
      <c r="B32" s="25" t="s">
        <v>408</v>
      </c>
      <c r="C32" s="15" t="s">
        <v>409</v>
      </c>
      <c r="D32" s="15"/>
      <c r="E32" s="26" t="s">
        <v>113</v>
      </c>
      <c r="F32" s="27">
        <v>626</v>
      </c>
      <c r="G32" s="16"/>
      <c r="H32" s="9" t="s">
        <v>36</v>
      </c>
      <c r="I32" s="1"/>
    </row>
    <row r="33" spans="1:9" ht="14.5" x14ac:dyDescent="0.35">
      <c r="A33" s="6">
        <v>14</v>
      </c>
      <c r="B33" s="25" t="s">
        <v>410</v>
      </c>
      <c r="C33" s="15" t="s">
        <v>411</v>
      </c>
      <c r="D33" s="15" t="s">
        <v>109</v>
      </c>
      <c r="E33" s="26" t="s">
        <v>116</v>
      </c>
      <c r="F33" s="28">
        <v>264</v>
      </c>
      <c r="G33" s="16"/>
      <c r="H33" s="9" t="s">
        <v>37</v>
      </c>
      <c r="I33" s="1"/>
    </row>
    <row r="34" spans="1:9" ht="14.5" x14ac:dyDescent="0.35">
      <c r="A34" s="6">
        <v>15</v>
      </c>
      <c r="B34" s="25" t="s">
        <v>370</v>
      </c>
      <c r="C34" s="15" t="s">
        <v>412</v>
      </c>
      <c r="D34" s="15"/>
      <c r="E34" s="26" t="s">
        <v>113</v>
      </c>
      <c r="F34" s="28">
        <v>619</v>
      </c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E40">
    <cfRule type="expression" dxfId="89" priority="7" stopIfTrue="1">
      <formula>MOD(ROW(),2)=0</formula>
    </cfRule>
    <cfRule type="expression" dxfId="88" priority="8" stopIfTrue="1">
      <formula>MOD(ROW(),2)=1</formula>
    </cfRule>
  </conditionalFormatting>
  <conditionalFormatting sqref="C20">
    <cfRule type="expression" dxfId="87" priority="5" stopIfTrue="1">
      <formula>MOD(ROW(),2)=0</formula>
    </cfRule>
    <cfRule type="expression" dxfId="86" priority="6" stopIfTrue="1">
      <formula>MOD(ROW(),2)=1</formula>
    </cfRule>
  </conditionalFormatting>
  <conditionalFormatting sqref="F20:G40">
    <cfRule type="expression" dxfId="85" priority="1" stopIfTrue="1">
      <formula>MOD(ROW(),2)=0</formula>
    </cfRule>
    <cfRule type="expression" dxfId="8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I44"/>
  <sheetViews>
    <sheetView showGridLines="0" topLeftCell="A16" zoomScaleNormal="100" workbookViewId="0">
      <selection activeCell="H25" sqref="H25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56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10204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4286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31">
        <f>739+600+481+630+559+331</f>
        <v>3340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31">
        <v>946</v>
      </c>
    </row>
    <row r="11" spans="1:9" ht="14.5" thickBot="1" x14ac:dyDescent="0.35">
      <c r="A11" s="5"/>
      <c r="B11" s="23" t="s">
        <v>10</v>
      </c>
      <c r="C11" s="23"/>
      <c r="D11" s="23"/>
      <c r="E11" s="23"/>
      <c r="F11" s="23"/>
      <c r="G11" s="37">
        <v>0.42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7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6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4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414</v>
      </c>
      <c r="C20" s="12" t="s">
        <v>415</v>
      </c>
      <c r="D20" s="12"/>
      <c r="E20" s="26" t="s">
        <v>116</v>
      </c>
      <c r="F20" s="32" t="s">
        <v>442</v>
      </c>
      <c r="G20" s="13"/>
      <c r="H20" s="9" t="s">
        <v>24</v>
      </c>
      <c r="I20" s="1"/>
    </row>
    <row r="21" spans="1:9" ht="14.5" x14ac:dyDescent="0.35">
      <c r="A21" s="6">
        <v>2</v>
      </c>
      <c r="B21" s="25" t="s">
        <v>416</v>
      </c>
      <c r="C21" s="15" t="s">
        <v>417</v>
      </c>
      <c r="D21" s="15"/>
      <c r="E21" s="26" t="s">
        <v>114</v>
      </c>
      <c r="F21" s="33" t="s">
        <v>443</v>
      </c>
      <c r="G21" s="16"/>
      <c r="H21" s="9" t="s">
        <v>25</v>
      </c>
      <c r="I21" s="1"/>
    </row>
    <row r="22" spans="1:9" ht="14.5" x14ac:dyDescent="0.35">
      <c r="A22" s="6">
        <v>3</v>
      </c>
      <c r="B22" s="25" t="s">
        <v>418</v>
      </c>
      <c r="C22" s="15" t="s">
        <v>419</v>
      </c>
      <c r="D22" s="15"/>
      <c r="E22" s="26" t="s">
        <v>115</v>
      </c>
      <c r="F22" s="33" t="s">
        <v>444</v>
      </c>
      <c r="G22" s="16" t="s">
        <v>119</v>
      </c>
      <c r="H22" s="9" t="s">
        <v>26</v>
      </c>
      <c r="I22" s="1"/>
    </row>
    <row r="23" spans="1:9" ht="14.5" x14ac:dyDescent="0.35">
      <c r="A23" s="6">
        <v>4</v>
      </c>
      <c r="B23" s="25" t="s">
        <v>420</v>
      </c>
      <c r="C23" s="15" t="s">
        <v>421</v>
      </c>
      <c r="D23" s="15" t="s">
        <v>111</v>
      </c>
      <c r="E23" s="26" t="s">
        <v>114</v>
      </c>
      <c r="F23" s="33" t="s">
        <v>445</v>
      </c>
      <c r="G23" s="16"/>
      <c r="H23" s="9" t="s">
        <v>27</v>
      </c>
      <c r="I23" s="1"/>
    </row>
    <row r="24" spans="1:9" ht="14.5" x14ac:dyDescent="0.35">
      <c r="A24" s="6">
        <v>5</v>
      </c>
      <c r="B24" s="25" t="s">
        <v>422</v>
      </c>
      <c r="C24" s="15" t="s">
        <v>423</v>
      </c>
      <c r="D24" s="15"/>
      <c r="E24" s="26" t="s">
        <v>115</v>
      </c>
      <c r="F24" s="33" t="s">
        <v>446</v>
      </c>
      <c r="G24" s="16" t="s">
        <v>119</v>
      </c>
      <c r="H24" s="9" t="s">
        <v>28</v>
      </c>
      <c r="I24" s="1"/>
    </row>
    <row r="25" spans="1:9" ht="14.5" x14ac:dyDescent="0.35">
      <c r="A25" s="6">
        <v>6</v>
      </c>
      <c r="B25" s="25" t="s">
        <v>424</v>
      </c>
      <c r="C25" s="15" t="s">
        <v>425</v>
      </c>
      <c r="D25" s="15"/>
      <c r="E25" s="26" t="s">
        <v>113</v>
      </c>
      <c r="F25" s="33" t="s">
        <v>447</v>
      </c>
      <c r="G25" s="16"/>
      <c r="H25" s="9" t="s">
        <v>29</v>
      </c>
      <c r="I25" s="1"/>
    </row>
    <row r="26" spans="1:9" ht="14.5" x14ac:dyDescent="0.35">
      <c r="A26" s="6">
        <v>7</v>
      </c>
      <c r="B26" s="25" t="s">
        <v>426</v>
      </c>
      <c r="C26" s="15" t="s">
        <v>427</v>
      </c>
      <c r="D26" s="15"/>
      <c r="E26" s="26" t="s">
        <v>174</v>
      </c>
      <c r="F26" s="33" t="s">
        <v>450</v>
      </c>
      <c r="G26" s="16"/>
      <c r="H26" s="9" t="s">
        <v>30</v>
      </c>
      <c r="I26" s="1"/>
    </row>
    <row r="27" spans="1:9" ht="14.5" x14ac:dyDescent="0.35">
      <c r="A27" s="6">
        <v>8</v>
      </c>
      <c r="B27" s="25" t="s">
        <v>428</v>
      </c>
      <c r="C27" s="15" t="s">
        <v>429</v>
      </c>
      <c r="D27" s="15"/>
      <c r="E27" s="26" t="s">
        <v>116</v>
      </c>
      <c r="F27" s="33" t="s">
        <v>451</v>
      </c>
      <c r="G27" s="16"/>
      <c r="H27" s="9" t="s">
        <v>31</v>
      </c>
      <c r="I27" s="1"/>
    </row>
    <row r="28" spans="1:9" ht="14.5" x14ac:dyDescent="0.35">
      <c r="A28" s="6">
        <v>9</v>
      </c>
      <c r="B28" s="25" t="s">
        <v>430</v>
      </c>
      <c r="C28" s="15" t="s">
        <v>431</v>
      </c>
      <c r="D28" s="15"/>
      <c r="E28" s="26" t="s">
        <v>174</v>
      </c>
      <c r="F28" s="33" t="s">
        <v>452</v>
      </c>
      <c r="G28" s="16"/>
      <c r="H28" s="9" t="s">
        <v>32</v>
      </c>
      <c r="I28" s="1"/>
    </row>
    <row r="29" spans="1:9" ht="14.5" x14ac:dyDescent="0.35">
      <c r="A29" s="6">
        <v>10</v>
      </c>
      <c r="B29" s="25" t="s">
        <v>432</v>
      </c>
      <c r="C29" s="15" t="s">
        <v>434</v>
      </c>
      <c r="D29" s="15" t="s">
        <v>109</v>
      </c>
      <c r="E29" s="26" t="s">
        <v>113</v>
      </c>
      <c r="F29" s="33" t="s">
        <v>453</v>
      </c>
      <c r="G29" s="16"/>
      <c r="H29" s="9" t="s">
        <v>33</v>
      </c>
      <c r="I29" s="1"/>
    </row>
    <row r="30" spans="1:9" ht="14.5" x14ac:dyDescent="0.35">
      <c r="A30" s="6">
        <v>11</v>
      </c>
      <c r="B30" s="25" t="s">
        <v>433</v>
      </c>
      <c r="C30" s="15" t="s">
        <v>435</v>
      </c>
      <c r="D30" s="15"/>
      <c r="E30" s="26" t="s">
        <v>115</v>
      </c>
      <c r="F30" s="33" t="s">
        <v>454</v>
      </c>
      <c r="G30" s="16" t="s">
        <v>119</v>
      </c>
      <c r="H30" s="9" t="s">
        <v>34</v>
      </c>
      <c r="I30" s="1"/>
    </row>
    <row r="31" spans="1:9" ht="14.5" x14ac:dyDescent="0.35">
      <c r="A31" s="6">
        <v>12</v>
      </c>
      <c r="B31" s="25" t="s">
        <v>436</v>
      </c>
      <c r="C31" s="15" t="s">
        <v>439</v>
      </c>
      <c r="D31" s="15"/>
      <c r="E31" s="26" t="s">
        <v>116</v>
      </c>
      <c r="F31" s="33" t="s">
        <v>455</v>
      </c>
      <c r="G31" s="16"/>
      <c r="H31" s="9" t="s">
        <v>35</v>
      </c>
      <c r="I31" s="1"/>
    </row>
    <row r="32" spans="1:9" ht="14.5" x14ac:dyDescent="0.35">
      <c r="A32" s="6">
        <v>13</v>
      </c>
      <c r="B32" s="25" t="s">
        <v>437</v>
      </c>
      <c r="C32" s="15" t="s">
        <v>438</v>
      </c>
      <c r="D32" s="15"/>
      <c r="E32" s="26" t="s">
        <v>113</v>
      </c>
      <c r="F32" s="33" t="s">
        <v>456</v>
      </c>
      <c r="G32" s="16"/>
      <c r="H32" s="9" t="s">
        <v>36</v>
      </c>
      <c r="I32" s="1"/>
    </row>
    <row r="33" spans="1:9" ht="14.5" x14ac:dyDescent="0.35">
      <c r="A33" s="6">
        <v>14</v>
      </c>
      <c r="B33" s="25" t="s">
        <v>440</v>
      </c>
      <c r="C33" s="15" t="s">
        <v>441</v>
      </c>
      <c r="D33" s="15"/>
      <c r="E33" s="26" t="s">
        <v>114</v>
      </c>
      <c r="F33" s="33" t="s">
        <v>457</v>
      </c>
      <c r="G33" s="16"/>
      <c r="H33" s="9" t="s">
        <v>37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E40">
    <cfRule type="expression" dxfId="83" priority="7" stopIfTrue="1">
      <formula>MOD(ROW(),2)=0</formula>
    </cfRule>
    <cfRule type="expression" dxfId="82" priority="8" stopIfTrue="1">
      <formula>MOD(ROW(),2)=1</formula>
    </cfRule>
  </conditionalFormatting>
  <conditionalFormatting sqref="C20">
    <cfRule type="expression" dxfId="81" priority="5" stopIfTrue="1">
      <formula>MOD(ROW(),2)=0</formula>
    </cfRule>
    <cfRule type="expression" dxfId="80" priority="6" stopIfTrue="1">
      <formula>MOD(ROW(),2)=1</formula>
    </cfRule>
  </conditionalFormatting>
  <conditionalFormatting sqref="F20:G40">
    <cfRule type="expression" dxfId="79" priority="1" stopIfTrue="1">
      <formula>MOD(ROW(),2)=0</formula>
    </cfRule>
    <cfRule type="expression" dxfId="7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I44"/>
  <sheetViews>
    <sheetView showGridLines="0" topLeftCell="A19" zoomScaleNormal="100" workbookViewId="0">
      <selection activeCell="H28" sqref="H28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57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11543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4886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31">
        <f>700+1203+1033+923</f>
        <v>3859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31">
        <v>1027</v>
      </c>
    </row>
    <row r="11" spans="1:9" ht="14.5" thickBot="1" x14ac:dyDescent="0.35">
      <c r="A11" s="5"/>
      <c r="B11" s="23" t="s">
        <v>10</v>
      </c>
      <c r="C11" s="23"/>
      <c r="D11" s="23"/>
      <c r="E11" s="23"/>
      <c r="F11" s="23"/>
      <c r="G11" s="36">
        <v>0.42299999999999999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4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9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5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458</v>
      </c>
      <c r="C20" s="12" t="s">
        <v>459</v>
      </c>
      <c r="D20" s="12"/>
      <c r="E20" s="26" t="s">
        <v>113</v>
      </c>
      <c r="F20" s="32" t="s">
        <v>487</v>
      </c>
      <c r="G20" s="13"/>
      <c r="H20" s="9" t="s">
        <v>24</v>
      </c>
      <c r="I20" s="1"/>
    </row>
    <row r="21" spans="1:9" ht="14.5" x14ac:dyDescent="0.35">
      <c r="A21" s="6">
        <v>2</v>
      </c>
      <c r="B21" s="25" t="s">
        <v>460</v>
      </c>
      <c r="C21" s="15" t="s">
        <v>461</v>
      </c>
      <c r="D21" s="15"/>
      <c r="E21" s="26" t="s">
        <v>116</v>
      </c>
      <c r="F21" s="33" t="s">
        <v>228</v>
      </c>
      <c r="G21" s="16"/>
      <c r="H21" s="9" t="s">
        <v>25</v>
      </c>
      <c r="I21" s="1"/>
    </row>
    <row r="22" spans="1:9" ht="14.5" x14ac:dyDescent="0.35">
      <c r="A22" s="6">
        <v>3</v>
      </c>
      <c r="B22" s="25" t="s">
        <v>462</v>
      </c>
      <c r="C22" s="15" t="s">
        <v>463</v>
      </c>
      <c r="D22" s="15"/>
      <c r="E22" s="26" t="s">
        <v>112</v>
      </c>
      <c r="F22" s="33" t="s">
        <v>488</v>
      </c>
      <c r="G22" s="16"/>
      <c r="H22" s="9" t="s">
        <v>26</v>
      </c>
      <c r="I22" s="1"/>
    </row>
    <row r="23" spans="1:9" ht="14.5" x14ac:dyDescent="0.35">
      <c r="A23" s="6">
        <v>4</v>
      </c>
      <c r="B23" s="25" t="s">
        <v>464</v>
      </c>
      <c r="C23" s="15" t="s">
        <v>467</v>
      </c>
      <c r="D23" s="15"/>
      <c r="E23" s="26" t="s">
        <v>174</v>
      </c>
      <c r="F23" s="33" t="s">
        <v>489</v>
      </c>
      <c r="G23" s="16"/>
      <c r="H23" s="9" t="s">
        <v>27</v>
      </c>
      <c r="I23" s="1"/>
    </row>
    <row r="24" spans="1:9" ht="14.5" x14ac:dyDescent="0.35">
      <c r="A24" s="6">
        <v>5</v>
      </c>
      <c r="B24" s="25" t="s">
        <v>465</v>
      </c>
      <c r="C24" s="15" t="s">
        <v>466</v>
      </c>
      <c r="D24" s="15" t="s">
        <v>109</v>
      </c>
      <c r="E24" s="26" t="s">
        <v>116</v>
      </c>
      <c r="F24" s="33" t="s">
        <v>230</v>
      </c>
      <c r="G24" s="16"/>
      <c r="H24" s="9" t="s">
        <v>28</v>
      </c>
      <c r="I24" s="1"/>
    </row>
    <row r="25" spans="1:9" ht="14.5" x14ac:dyDescent="0.35">
      <c r="A25" s="6">
        <v>6</v>
      </c>
      <c r="B25" s="25" t="s">
        <v>468</v>
      </c>
      <c r="C25" s="15" t="s">
        <v>469</v>
      </c>
      <c r="D25" s="15"/>
      <c r="E25" s="26" t="s">
        <v>115</v>
      </c>
      <c r="F25" s="33" t="s">
        <v>490</v>
      </c>
      <c r="G25" s="16" t="s">
        <v>119</v>
      </c>
      <c r="H25" s="9" t="s">
        <v>29</v>
      </c>
      <c r="I25" s="1"/>
    </row>
    <row r="26" spans="1:9" ht="14.5" x14ac:dyDescent="0.35">
      <c r="A26" s="6">
        <v>7</v>
      </c>
      <c r="B26" s="25" t="s">
        <v>470</v>
      </c>
      <c r="C26" s="15" t="s">
        <v>471</v>
      </c>
      <c r="D26" s="15"/>
      <c r="E26" s="26" t="s">
        <v>113</v>
      </c>
      <c r="F26" s="33" t="s">
        <v>491</v>
      </c>
      <c r="G26" s="16"/>
      <c r="H26" s="9" t="s">
        <v>30</v>
      </c>
      <c r="I26" s="1"/>
    </row>
    <row r="27" spans="1:9" ht="14.5" x14ac:dyDescent="0.35">
      <c r="A27" s="6">
        <v>8</v>
      </c>
      <c r="B27" s="25" t="s">
        <v>472</v>
      </c>
      <c r="C27" s="15" t="s">
        <v>473</v>
      </c>
      <c r="D27" s="15"/>
      <c r="E27" s="26" t="s">
        <v>112</v>
      </c>
      <c r="F27" s="33" t="s">
        <v>492</v>
      </c>
      <c r="G27" s="16"/>
      <c r="H27" s="9" t="s">
        <v>31</v>
      </c>
      <c r="I27" s="1"/>
    </row>
    <row r="28" spans="1:9" ht="14.5" x14ac:dyDescent="0.35">
      <c r="A28" s="6">
        <v>9</v>
      </c>
      <c r="B28" s="25" t="s">
        <v>474</v>
      </c>
      <c r="C28" s="15" t="s">
        <v>475</v>
      </c>
      <c r="D28" s="15" t="s">
        <v>111</v>
      </c>
      <c r="E28" s="26" t="s">
        <v>115</v>
      </c>
      <c r="F28" s="33" t="s">
        <v>493</v>
      </c>
      <c r="G28" s="16" t="s">
        <v>119</v>
      </c>
      <c r="H28" s="9" t="s">
        <v>32</v>
      </c>
      <c r="I28" s="1"/>
    </row>
    <row r="29" spans="1:9" ht="14.5" x14ac:dyDescent="0.35">
      <c r="A29" s="6">
        <v>10</v>
      </c>
      <c r="B29" s="25" t="s">
        <v>476</v>
      </c>
      <c r="C29" s="15" t="s">
        <v>79</v>
      </c>
      <c r="D29" s="15" t="s">
        <v>111</v>
      </c>
      <c r="E29" s="26" t="s">
        <v>112</v>
      </c>
      <c r="F29" s="33" t="s">
        <v>494</v>
      </c>
      <c r="G29" s="16"/>
      <c r="H29" s="9" t="s">
        <v>33</v>
      </c>
      <c r="I29" s="1"/>
    </row>
    <row r="30" spans="1:9" ht="14.5" x14ac:dyDescent="0.35">
      <c r="A30" s="6">
        <v>11</v>
      </c>
      <c r="B30" s="25" t="s">
        <v>477</v>
      </c>
      <c r="C30" s="15" t="s">
        <v>478</v>
      </c>
      <c r="D30" s="15"/>
      <c r="E30" s="26" t="s">
        <v>174</v>
      </c>
      <c r="F30" s="33" t="s">
        <v>495</v>
      </c>
      <c r="G30" s="16"/>
      <c r="H30" s="9" t="s">
        <v>34</v>
      </c>
      <c r="I30" s="1"/>
    </row>
    <row r="31" spans="1:9" ht="14.5" x14ac:dyDescent="0.35">
      <c r="A31" s="6">
        <v>12</v>
      </c>
      <c r="B31" s="25" t="s">
        <v>479</v>
      </c>
      <c r="C31" s="15" t="s">
        <v>480</v>
      </c>
      <c r="D31" s="15" t="s">
        <v>111</v>
      </c>
      <c r="E31" s="26" t="s">
        <v>116</v>
      </c>
      <c r="F31" s="33" t="s">
        <v>496</v>
      </c>
      <c r="G31" s="16"/>
      <c r="H31" s="9" t="s">
        <v>35</v>
      </c>
      <c r="I31" s="1"/>
    </row>
    <row r="32" spans="1:9" ht="14.5" x14ac:dyDescent="0.35">
      <c r="A32" s="6">
        <v>13</v>
      </c>
      <c r="B32" s="25" t="s">
        <v>481</v>
      </c>
      <c r="C32" s="15" t="s">
        <v>482</v>
      </c>
      <c r="D32" s="15"/>
      <c r="E32" s="26" t="s">
        <v>115</v>
      </c>
      <c r="F32" s="33" t="s">
        <v>497</v>
      </c>
      <c r="G32" s="16" t="s">
        <v>119</v>
      </c>
      <c r="H32" s="9" t="s">
        <v>36</v>
      </c>
      <c r="I32" s="1"/>
    </row>
    <row r="33" spans="1:9" ht="14.5" x14ac:dyDescent="0.35">
      <c r="A33" s="6">
        <v>14</v>
      </c>
      <c r="B33" s="25" t="s">
        <v>483</v>
      </c>
      <c r="C33" s="15" t="s">
        <v>484</v>
      </c>
      <c r="D33" s="15"/>
      <c r="E33" s="26" t="s">
        <v>113</v>
      </c>
      <c r="F33" s="33" t="s">
        <v>498</v>
      </c>
      <c r="G33" s="16"/>
      <c r="H33" s="9" t="s">
        <v>37</v>
      </c>
      <c r="I33" s="1"/>
    </row>
    <row r="34" spans="1:9" ht="14.5" x14ac:dyDescent="0.35">
      <c r="A34" s="6">
        <v>15</v>
      </c>
      <c r="B34" s="25" t="s">
        <v>485</v>
      </c>
      <c r="C34" s="15" t="s">
        <v>486</v>
      </c>
      <c r="D34" s="15"/>
      <c r="E34" s="26" t="s">
        <v>174</v>
      </c>
      <c r="F34" s="33" t="s">
        <v>499</v>
      </c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E40">
    <cfRule type="expression" dxfId="77" priority="7" stopIfTrue="1">
      <formula>MOD(ROW(),2)=0</formula>
    </cfRule>
    <cfRule type="expression" dxfId="76" priority="8" stopIfTrue="1">
      <formula>MOD(ROW(),2)=1</formula>
    </cfRule>
  </conditionalFormatting>
  <conditionalFormatting sqref="C20">
    <cfRule type="expression" dxfId="75" priority="5" stopIfTrue="1">
      <formula>MOD(ROW(),2)=0</formula>
    </cfRule>
    <cfRule type="expression" dxfId="74" priority="6" stopIfTrue="1">
      <formula>MOD(ROW(),2)=1</formula>
    </cfRule>
  </conditionalFormatting>
  <conditionalFormatting sqref="F20:G40">
    <cfRule type="expression" dxfId="73" priority="1" stopIfTrue="1">
      <formula>MOD(ROW(),2)=0</formula>
    </cfRule>
    <cfRule type="expression" dxfId="7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I44"/>
  <sheetViews>
    <sheetView showGridLines="0" topLeftCell="A19" zoomScaleNormal="100" workbookViewId="0">
      <selection activeCell="H34" sqref="H34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58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10594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3662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31">
        <f>460+448+907+312+503+477</f>
        <v>3107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31">
        <v>555</v>
      </c>
    </row>
    <row r="11" spans="1:9" ht="14.5" thickBot="1" x14ac:dyDescent="0.35">
      <c r="A11" s="5"/>
      <c r="B11" s="23" t="s">
        <v>10</v>
      </c>
      <c r="C11" s="23"/>
      <c r="D11" s="23"/>
      <c r="E11" s="23"/>
      <c r="F11" s="23"/>
      <c r="G11" s="36">
        <v>0.34499999999999997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7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1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7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4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500</v>
      </c>
      <c r="C20" s="12" t="s">
        <v>501</v>
      </c>
      <c r="D20" s="12"/>
      <c r="E20" s="26" t="s">
        <v>115</v>
      </c>
      <c r="F20" s="32" t="s">
        <v>529</v>
      </c>
      <c r="G20" s="13" t="s">
        <v>119</v>
      </c>
      <c r="H20" s="9" t="s">
        <v>24</v>
      </c>
      <c r="I20" s="1"/>
    </row>
    <row r="21" spans="1:9" ht="14.5" x14ac:dyDescent="0.35">
      <c r="A21" s="6">
        <v>2</v>
      </c>
      <c r="B21" s="25" t="s">
        <v>508</v>
      </c>
      <c r="C21" s="15" t="s">
        <v>502</v>
      </c>
      <c r="D21" s="15" t="s">
        <v>111</v>
      </c>
      <c r="E21" s="26" t="s">
        <v>173</v>
      </c>
      <c r="F21" s="33" t="s">
        <v>530</v>
      </c>
      <c r="G21" s="16"/>
      <c r="H21" s="9" t="s">
        <v>25</v>
      </c>
      <c r="I21" s="1"/>
    </row>
    <row r="22" spans="1:9" ht="14.5" x14ac:dyDescent="0.35">
      <c r="A22" s="6">
        <v>3</v>
      </c>
      <c r="B22" s="25" t="s">
        <v>509</v>
      </c>
      <c r="C22" s="15" t="s">
        <v>503</v>
      </c>
      <c r="D22" s="15" t="s">
        <v>111</v>
      </c>
      <c r="E22" s="26" t="s">
        <v>112</v>
      </c>
      <c r="F22" s="33" t="s">
        <v>181</v>
      </c>
      <c r="G22" s="16"/>
      <c r="H22" s="9" t="s">
        <v>26</v>
      </c>
      <c r="I22" s="1"/>
    </row>
    <row r="23" spans="1:9" ht="14.5" x14ac:dyDescent="0.35">
      <c r="A23" s="6">
        <v>4</v>
      </c>
      <c r="B23" s="25" t="s">
        <v>510</v>
      </c>
      <c r="C23" s="15" t="s">
        <v>504</v>
      </c>
      <c r="D23" s="15"/>
      <c r="E23" s="26" t="s">
        <v>116</v>
      </c>
      <c r="F23" s="33" t="s">
        <v>531</v>
      </c>
      <c r="G23" s="16"/>
      <c r="H23" s="9" t="s">
        <v>27</v>
      </c>
      <c r="I23" s="1"/>
    </row>
    <row r="24" spans="1:9" ht="14.5" x14ac:dyDescent="0.35">
      <c r="A24" s="6">
        <v>5</v>
      </c>
      <c r="B24" s="25" t="s">
        <v>511</v>
      </c>
      <c r="C24" s="15" t="s">
        <v>505</v>
      </c>
      <c r="D24" s="15" t="s">
        <v>111</v>
      </c>
      <c r="E24" s="26" t="s">
        <v>116</v>
      </c>
      <c r="F24" s="33" t="s">
        <v>287</v>
      </c>
      <c r="G24" s="16"/>
      <c r="H24" s="9" t="s">
        <v>28</v>
      </c>
      <c r="I24" s="1"/>
    </row>
    <row r="25" spans="1:9" ht="14.5" x14ac:dyDescent="0.35">
      <c r="A25" s="6">
        <v>6</v>
      </c>
      <c r="B25" s="25" t="s">
        <v>506</v>
      </c>
      <c r="C25" s="15" t="s">
        <v>507</v>
      </c>
      <c r="D25" s="15" t="s">
        <v>111</v>
      </c>
      <c r="E25" s="26" t="s">
        <v>174</v>
      </c>
      <c r="F25" s="33" t="s">
        <v>532</v>
      </c>
      <c r="G25" s="16"/>
      <c r="H25" s="9" t="s">
        <v>29</v>
      </c>
      <c r="I25" s="1"/>
    </row>
    <row r="26" spans="1:9" ht="14.5" x14ac:dyDescent="0.35">
      <c r="A26" s="6">
        <v>7</v>
      </c>
      <c r="B26" s="25" t="s">
        <v>164</v>
      </c>
      <c r="C26" s="15" t="s">
        <v>512</v>
      </c>
      <c r="D26" s="15"/>
      <c r="E26" s="26" t="s">
        <v>173</v>
      </c>
      <c r="F26" s="33" t="s">
        <v>533</v>
      </c>
      <c r="G26" s="16"/>
      <c r="H26" s="9" t="s">
        <v>30</v>
      </c>
      <c r="I26" s="1"/>
    </row>
    <row r="27" spans="1:9" ht="14.5" x14ac:dyDescent="0.35">
      <c r="A27" s="6">
        <v>8</v>
      </c>
      <c r="B27" s="25" t="s">
        <v>513</v>
      </c>
      <c r="C27" s="15" t="s">
        <v>514</v>
      </c>
      <c r="D27" s="15"/>
      <c r="E27" s="26" t="s">
        <v>115</v>
      </c>
      <c r="F27" s="33" t="s">
        <v>534</v>
      </c>
      <c r="G27" s="16" t="s">
        <v>119</v>
      </c>
      <c r="H27" s="9" t="s">
        <v>31</v>
      </c>
      <c r="I27" s="1"/>
    </row>
    <row r="28" spans="1:9" ht="14.5" x14ac:dyDescent="0.35">
      <c r="A28" s="6">
        <v>9</v>
      </c>
      <c r="B28" s="25" t="s">
        <v>515</v>
      </c>
      <c r="C28" s="15" t="s">
        <v>516</v>
      </c>
      <c r="D28" s="15"/>
      <c r="E28" s="26" t="s">
        <v>115</v>
      </c>
      <c r="F28" s="33" t="s">
        <v>535</v>
      </c>
      <c r="G28" s="16" t="s">
        <v>119</v>
      </c>
      <c r="H28" s="9" t="s">
        <v>32</v>
      </c>
      <c r="I28" s="1"/>
    </row>
    <row r="29" spans="1:9" ht="14.5" x14ac:dyDescent="0.35">
      <c r="A29" s="6">
        <v>10</v>
      </c>
      <c r="B29" s="25" t="s">
        <v>517</v>
      </c>
      <c r="C29" s="15" t="s">
        <v>518</v>
      </c>
      <c r="D29" s="15"/>
      <c r="E29" s="26" t="s">
        <v>174</v>
      </c>
      <c r="F29" s="33" t="s">
        <v>536</v>
      </c>
      <c r="G29" s="16"/>
      <c r="H29" s="9" t="s">
        <v>33</v>
      </c>
      <c r="I29" s="1"/>
    </row>
    <row r="30" spans="1:9" ht="14.5" x14ac:dyDescent="0.35">
      <c r="A30" s="6">
        <v>11</v>
      </c>
      <c r="B30" s="25" t="s">
        <v>519</v>
      </c>
      <c r="C30" s="15" t="s">
        <v>528</v>
      </c>
      <c r="D30" s="15"/>
      <c r="E30" s="26" t="s">
        <v>112</v>
      </c>
      <c r="F30" s="33" t="s">
        <v>537</v>
      </c>
      <c r="G30" s="16"/>
      <c r="H30" s="9" t="s">
        <v>34</v>
      </c>
      <c r="I30" s="1"/>
    </row>
    <row r="31" spans="1:9" ht="14.5" x14ac:dyDescent="0.35">
      <c r="A31" s="6">
        <v>12</v>
      </c>
      <c r="B31" s="25" t="s">
        <v>520</v>
      </c>
      <c r="C31" s="15" t="s">
        <v>521</v>
      </c>
      <c r="D31" s="15"/>
      <c r="E31" s="26" t="s">
        <v>116</v>
      </c>
      <c r="F31" s="33" t="s">
        <v>539</v>
      </c>
      <c r="G31" s="16"/>
      <c r="H31" s="9" t="s">
        <v>35</v>
      </c>
      <c r="I31" s="1"/>
    </row>
    <row r="32" spans="1:9" ht="14.5" x14ac:dyDescent="0.35">
      <c r="A32" s="6">
        <v>13</v>
      </c>
      <c r="B32" s="25" t="s">
        <v>522</v>
      </c>
      <c r="C32" s="15" t="s">
        <v>523</v>
      </c>
      <c r="D32" s="15"/>
      <c r="E32" s="26" t="s">
        <v>173</v>
      </c>
      <c r="F32" s="33" t="s">
        <v>538</v>
      </c>
      <c r="G32" s="16"/>
      <c r="H32" s="9" t="s">
        <v>36</v>
      </c>
      <c r="I32" s="1"/>
    </row>
    <row r="33" spans="1:9" ht="14.5" x14ac:dyDescent="0.35">
      <c r="A33" s="6">
        <v>14</v>
      </c>
      <c r="B33" s="25" t="s">
        <v>524</v>
      </c>
      <c r="C33" s="15" t="s">
        <v>525</v>
      </c>
      <c r="D33" s="15"/>
      <c r="E33" s="26" t="s">
        <v>174</v>
      </c>
      <c r="F33" s="33" t="s">
        <v>540</v>
      </c>
      <c r="G33" s="16"/>
      <c r="H33" s="9" t="s">
        <v>37</v>
      </c>
      <c r="I33" s="1"/>
    </row>
    <row r="34" spans="1:9" ht="14.5" x14ac:dyDescent="0.35">
      <c r="A34" s="6">
        <v>15</v>
      </c>
      <c r="B34" s="25" t="s">
        <v>526</v>
      </c>
      <c r="C34" s="15" t="s">
        <v>527</v>
      </c>
      <c r="D34" s="15" t="s">
        <v>111</v>
      </c>
      <c r="E34" s="26" t="s">
        <v>112</v>
      </c>
      <c r="F34" s="33" t="s">
        <v>541</v>
      </c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E40">
    <cfRule type="expression" dxfId="71" priority="7" stopIfTrue="1">
      <formula>MOD(ROW(),2)=0</formula>
    </cfRule>
    <cfRule type="expression" dxfId="70" priority="8" stopIfTrue="1">
      <formula>MOD(ROW(),2)=1</formula>
    </cfRule>
  </conditionalFormatting>
  <conditionalFormatting sqref="C20">
    <cfRule type="expression" dxfId="69" priority="5" stopIfTrue="1">
      <formula>MOD(ROW(),2)=0</formula>
    </cfRule>
    <cfRule type="expression" dxfId="68" priority="6" stopIfTrue="1">
      <formula>MOD(ROW(),2)=1</formula>
    </cfRule>
  </conditionalFormatting>
  <conditionalFormatting sqref="F20:G40">
    <cfRule type="expression" dxfId="67" priority="1" stopIfTrue="1">
      <formula>MOD(ROW(),2)=0</formula>
    </cfRule>
    <cfRule type="expression" dxfId="6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I44"/>
  <sheetViews>
    <sheetView showGridLines="0" topLeftCell="A16" zoomScaleNormal="100" workbookViewId="0">
      <selection activeCell="H24" sqref="H24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59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10890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4239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31">
        <f>895+854+931+564</f>
        <v>3244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31">
        <v>995</v>
      </c>
    </row>
    <row r="11" spans="1:9" ht="14.5" thickBot="1" x14ac:dyDescent="0.35">
      <c r="A11" s="5"/>
      <c r="B11" s="23" t="s">
        <v>10</v>
      </c>
      <c r="C11" s="23"/>
      <c r="D11" s="23"/>
      <c r="E11" s="23"/>
      <c r="F11" s="23"/>
      <c r="G11" s="36">
        <v>0.38900000000000001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9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24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8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542</v>
      </c>
      <c r="C20" s="12" t="s">
        <v>543</v>
      </c>
      <c r="D20" s="12"/>
      <c r="E20" s="26" t="s">
        <v>112</v>
      </c>
      <c r="F20" s="32" t="s">
        <v>562</v>
      </c>
      <c r="G20" s="13"/>
      <c r="H20" s="9" t="s">
        <v>24</v>
      </c>
      <c r="I20" s="1"/>
    </row>
    <row r="21" spans="1:9" ht="14.5" x14ac:dyDescent="0.35">
      <c r="A21" s="6">
        <v>2</v>
      </c>
      <c r="B21" s="25" t="s">
        <v>344</v>
      </c>
      <c r="C21" s="15" t="s">
        <v>544</v>
      </c>
      <c r="D21" s="15"/>
      <c r="E21" s="26" t="s">
        <v>115</v>
      </c>
      <c r="F21" s="33" t="s">
        <v>565</v>
      </c>
      <c r="G21" s="16" t="s">
        <v>119</v>
      </c>
      <c r="H21" s="9" t="s">
        <v>25</v>
      </c>
      <c r="I21" s="1"/>
    </row>
    <row r="22" spans="1:9" ht="14.5" x14ac:dyDescent="0.35">
      <c r="A22" s="6">
        <v>3</v>
      </c>
      <c r="B22" s="25" t="s">
        <v>460</v>
      </c>
      <c r="C22" s="15" t="s">
        <v>545</v>
      </c>
      <c r="D22" s="15"/>
      <c r="E22" s="26" t="s">
        <v>116</v>
      </c>
      <c r="F22" s="33" t="s">
        <v>566</v>
      </c>
      <c r="G22" s="16" t="s">
        <v>119</v>
      </c>
      <c r="H22" s="9" t="s">
        <v>26</v>
      </c>
      <c r="I22" s="1"/>
    </row>
    <row r="23" spans="1:9" ht="14.5" x14ac:dyDescent="0.35">
      <c r="A23" s="6">
        <v>4</v>
      </c>
      <c r="B23" s="25" t="s">
        <v>546</v>
      </c>
      <c r="C23" s="15" t="s">
        <v>547</v>
      </c>
      <c r="D23" s="15"/>
      <c r="E23" s="26" t="s">
        <v>113</v>
      </c>
      <c r="F23" s="33" t="s">
        <v>567</v>
      </c>
      <c r="G23" s="16"/>
      <c r="H23" s="9" t="s">
        <v>27</v>
      </c>
      <c r="I23" s="1"/>
    </row>
    <row r="24" spans="1:9" ht="14.5" x14ac:dyDescent="0.35">
      <c r="A24" s="6">
        <v>5</v>
      </c>
      <c r="B24" s="25" t="s">
        <v>548</v>
      </c>
      <c r="C24" s="15" t="s">
        <v>549</v>
      </c>
      <c r="D24" s="15"/>
      <c r="E24" s="26" t="s">
        <v>116</v>
      </c>
      <c r="F24" s="33" t="s">
        <v>568</v>
      </c>
      <c r="G24" s="16"/>
      <c r="H24" s="9" t="s">
        <v>28</v>
      </c>
      <c r="I24" s="1"/>
    </row>
    <row r="25" spans="1:9" ht="14.5" x14ac:dyDescent="0.35">
      <c r="A25" s="6">
        <v>6</v>
      </c>
      <c r="B25" s="25" t="s">
        <v>550</v>
      </c>
      <c r="C25" s="15" t="s">
        <v>551</v>
      </c>
      <c r="D25" s="15"/>
      <c r="E25" s="26" t="s">
        <v>114</v>
      </c>
      <c r="F25" s="33" t="s">
        <v>569</v>
      </c>
      <c r="G25" s="16"/>
      <c r="H25" s="9" t="s">
        <v>29</v>
      </c>
      <c r="I25" s="1"/>
    </row>
    <row r="26" spans="1:9" ht="14.5" x14ac:dyDescent="0.35">
      <c r="A26" s="6">
        <v>7</v>
      </c>
      <c r="B26" s="25" t="s">
        <v>301</v>
      </c>
      <c r="C26" s="15" t="s">
        <v>552</v>
      </c>
      <c r="D26" s="15"/>
      <c r="E26" s="26" t="s">
        <v>115</v>
      </c>
      <c r="F26" s="33" t="s">
        <v>570</v>
      </c>
      <c r="G26" s="16"/>
      <c r="H26" s="9" t="s">
        <v>30</v>
      </c>
      <c r="I26" s="1"/>
    </row>
    <row r="27" spans="1:9" ht="14.5" x14ac:dyDescent="0.35">
      <c r="A27" s="6">
        <v>8</v>
      </c>
      <c r="B27" s="25" t="s">
        <v>553</v>
      </c>
      <c r="C27" s="15" t="s">
        <v>554</v>
      </c>
      <c r="D27" s="15"/>
      <c r="E27" s="26" t="s">
        <v>116</v>
      </c>
      <c r="F27" s="33" t="s">
        <v>571</v>
      </c>
      <c r="G27" s="16"/>
      <c r="H27" s="9" t="s">
        <v>31</v>
      </c>
      <c r="I27" s="1"/>
    </row>
    <row r="28" spans="1:9" ht="14.5" x14ac:dyDescent="0.35">
      <c r="A28" s="6">
        <v>9</v>
      </c>
      <c r="B28" s="25" t="s">
        <v>555</v>
      </c>
      <c r="C28" s="15" t="s">
        <v>273</v>
      </c>
      <c r="D28" s="15" t="s">
        <v>109</v>
      </c>
      <c r="E28" s="26" t="s">
        <v>115</v>
      </c>
      <c r="F28" s="33" t="s">
        <v>572</v>
      </c>
      <c r="G28" s="16" t="s">
        <v>119</v>
      </c>
      <c r="H28" s="9" t="s">
        <v>32</v>
      </c>
      <c r="I28" s="1"/>
    </row>
    <row r="29" spans="1:9" ht="14.5" x14ac:dyDescent="0.35">
      <c r="A29" s="6">
        <v>10</v>
      </c>
      <c r="B29" s="25" t="s">
        <v>556</v>
      </c>
      <c r="C29" s="15" t="s">
        <v>557</v>
      </c>
      <c r="D29" s="15"/>
      <c r="E29" s="26" t="s">
        <v>113</v>
      </c>
      <c r="F29" s="33" t="s">
        <v>573</v>
      </c>
      <c r="G29" s="16"/>
      <c r="H29" s="9" t="s">
        <v>33</v>
      </c>
      <c r="I29" s="1"/>
    </row>
    <row r="30" spans="1:9" ht="14.5" x14ac:dyDescent="0.35">
      <c r="A30" s="6">
        <v>11</v>
      </c>
      <c r="B30" s="25" t="s">
        <v>558</v>
      </c>
      <c r="C30" s="15" t="s">
        <v>559</v>
      </c>
      <c r="D30" s="15" t="s">
        <v>109</v>
      </c>
      <c r="E30" s="26" t="s">
        <v>174</v>
      </c>
      <c r="F30" s="33" t="s">
        <v>177</v>
      </c>
      <c r="G30" s="16"/>
      <c r="H30" s="9" t="s">
        <v>34</v>
      </c>
      <c r="I30" s="1"/>
    </row>
    <row r="31" spans="1:9" ht="14.5" x14ac:dyDescent="0.35">
      <c r="A31" s="6">
        <v>12</v>
      </c>
      <c r="B31" s="25" t="s">
        <v>560</v>
      </c>
      <c r="C31" s="15" t="s">
        <v>561</v>
      </c>
      <c r="D31" s="15"/>
      <c r="E31" s="26" t="s">
        <v>113</v>
      </c>
      <c r="F31" s="33" t="s">
        <v>574</v>
      </c>
      <c r="G31" s="16"/>
      <c r="H31" s="9" t="s">
        <v>35</v>
      </c>
      <c r="I31" s="1"/>
    </row>
    <row r="32" spans="1:9" ht="14" x14ac:dyDescent="0.3">
      <c r="A32" s="6">
        <v>13</v>
      </c>
      <c r="B32" s="14"/>
      <c r="C32" s="15"/>
      <c r="D32" s="15"/>
      <c r="E32" s="16"/>
      <c r="F32" s="16"/>
      <c r="G32" s="16"/>
      <c r="H32" s="9" t="s">
        <v>36</v>
      </c>
      <c r="I32" s="1"/>
    </row>
    <row r="33" spans="1:9" ht="14" x14ac:dyDescent="0.3">
      <c r="A33" s="6">
        <v>14</v>
      </c>
      <c r="B33" s="14"/>
      <c r="C33" s="15"/>
      <c r="D33" s="15"/>
      <c r="E33" s="16"/>
      <c r="F33" s="16"/>
      <c r="G33" s="16"/>
      <c r="H33" s="9" t="s">
        <v>37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E40">
    <cfRule type="expression" dxfId="65" priority="7" stopIfTrue="1">
      <formula>MOD(ROW(),2)=0</formula>
    </cfRule>
    <cfRule type="expression" dxfId="64" priority="8" stopIfTrue="1">
      <formula>MOD(ROW(),2)=1</formula>
    </cfRule>
  </conditionalFormatting>
  <conditionalFormatting sqref="C20">
    <cfRule type="expression" dxfId="63" priority="5" stopIfTrue="1">
      <formula>MOD(ROW(),2)=0</formula>
    </cfRule>
    <cfRule type="expression" dxfId="62" priority="6" stopIfTrue="1">
      <formula>MOD(ROW(),2)=1</formula>
    </cfRule>
  </conditionalFormatting>
  <conditionalFormatting sqref="F20:G40">
    <cfRule type="expression" dxfId="61" priority="1" stopIfTrue="1">
      <formula>MOD(ROW(),2)=0</formula>
    </cfRule>
    <cfRule type="expression" dxfId="6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/>
  <dimension ref="A1:I44"/>
  <sheetViews>
    <sheetView showGridLines="0" topLeftCell="A16" zoomScaleNormal="100" workbookViewId="0">
      <selection activeCell="H24" sqref="H24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60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61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7900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2723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31">
        <f>990+590+732</f>
        <v>2312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31">
        <v>411</v>
      </c>
    </row>
    <row r="11" spans="1:9" ht="14.5" thickBot="1" x14ac:dyDescent="0.35">
      <c r="A11" s="5"/>
      <c r="B11" s="23" t="s">
        <v>10</v>
      </c>
      <c r="C11" s="23"/>
      <c r="D11" s="23"/>
      <c r="E11" s="23"/>
      <c r="F11" s="23"/>
      <c r="G11" s="36">
        <v>0.34399999999999997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28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2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16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1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161</v>
      </c>
      <c r="C20" s="12" t="s">
        <v>575</v>
      </c>
      <c r="D20" s="12" t="s">
        <v>111</v>
      </c>
      <c r="E20" s="26" t="s">
        <v>115</v>
      </c>
      <c r="F20" s="32" t="s">
        <v>380</v>
      </c>
      <c r="G20" s="13" t="s">
        <v>119</v>
      </c>
      <c r="H20" s="9" t="s">
        <v>24</v>
      </c>
      <c r="I20" s="1"/>
    </row>
    <row r="21" spans="1:9" ht="14.5" x14ac:dyDescent="0.35">
      <c r="A21" s="6">
        <v>2</v>
      </c>
      <c r="B21" s="25" t="s">
        <v>576</v>
      </c>
      <c r="C21" s="15" t="s">
        <v>577</v>
      </c>
      <c r="D21" s="15"/>
      <c r="E21" s="26" t="s">
        <v>112</v>
      </c>
      <c r="F21" s="33" t="s">
        <v>188</v>
      </c>
      <c r="G21" s="16" t="s">
        <v>119</v>
      </c>
      <c r="H21" s="9" t="s">
        <v>25</v>
      </c>
      <c r="I21" s="1"/>
    </row>
    <row r="22" spans="1:9" ht="14.5" x14ac:dyDescent="0.35">
      <c r="A22" s="6">
        <v>3</v>
      </c>
      <c r="B22" s="25" t="s">
        <v>578</v>
      </c>
      <c r="C22" s="15" t="s">
        <v>579</v>
      </c>
      <c r="D22" s="15"/>
      <c r="E22" s="26" t="s">
        <v>116</v>
      </c>
      <c r="F22" s="33" t="s">
        <v>591</v>
      </c>
      <c r="G22" s="16"/>
      <c r="H22" s="9" t="s">
        <v>26</v>
      </c>
      <c r="I22" s="1"/>
    </row>
    <row r="23" spans="1:9" ht="14.5" x14ac:dyDescent="0.35">
      <c r="A23" s="6">
        <v>4</v>
      </c>
      <c r="B23" s="25" t="s">
        <v>307</v>
      </c>
      <c r="C23" s="15" t="s">
        <v>580</v>
      </c>
      <c r="D23" s="15"/>
      <c r="E23" s="26" t="s">
        <v>114</v>
      </c>
      <c r="F23" s="33" t="s">
        <v>592</v>
      </c>
      <c r="G23" s="16"/>
      <c r="H23" s="9" t="s">
        <v>27</v>
      </c>
      <c r="I23" s="1"/>
    </row>
    <row r="24" spans="1:9" ht="14.5" x14ac:dyDescent="0.35">
      <c r="A24" s="6">
        <v>5</v>
      </c>
      <c r="B24" s="25" t="s">
        <v>581</v>
      </c>
      <c r="C24" s="15" t="s">
        <v>80</v>
      </c>
      <c r="D24" s="15"/>
      <c r="E24" s="26" t="s">
        <v>116</v>
      </c>
      <c r="F24" s="33" t="s">
        <v>593</v>
      </c>
      <c r="G24" s="16"/>
      <c r="H24" s="9" t="s">
        <v>28</v>
      </c>
      <c r="I24" s="1"/>
    </row>
    <row r="25" spans="1:9" ht="14.5" x14ac:dyDescent="0.35">
      <c r="A25" s="6">
        <v>6</v>
      </c>
      <c r="B25" s="25" t="s">
        <v>582</v>
      </c>
      <c r="C25" s="15" t="s">
        <v>584</v>
      </c>
      <c r="D25" s="15"/>
      <c r="E25" s="26" t="s">
        <v>173</v>
      </c>
      <c r="F25" s="33" t="s">
        <v>594</v>
      </c>
      <c r="G25" s="16"/>
      <c r="H25" s="9" t="s">
        <v>29</v>
      </c>
      <c r="I25" s="1"/>
    </row>
    <row r="26" spans="1:9" ht="14.5" x14ac:dyDescent="0.35">
      <c r="A26" s="6">
        <v>7</v>
      </c>
      <c r="B26" s="25" t="s">
        <v>583</v>
      </c>
      <c r="C26" s="15" t="s">
        <v>585</v>
      </c>
      <c r="D26" s="15"/>
      <c r="E26" s="26" t="s">
        <v>173</v>
      </c>
      <c r="F26" s="33" t="s">
        <v>595</v>
      </c>
      <c r="G26" s="16"/>
      <c r="H26" s="9" t="s">
        <v>30</v>
      </c>
      <c r="I26" s="1"/>
    </row>
    <row r="27" spans="1:9" ht="14.5" x14ac:dyDescent="0.35">
      <c r="A27" s="6">
        <v>8</v>
      </c>
      <c r="B27" s="25" t="s">
        <v>586</v>
      </c>
      <c r="C27" s="15" t="s">
        <v>587</v>
      </c>
      <c r="D27" s="15"/>
      <c r="E27" s="26" t="s">
        <v>112</v>
      </c>
      <c r="F27" s="33" t="s">
        <v>596</v>
      </c>
      <c r="G27" s="16"/>
      <c r="H27" s="9" t="s">
        <v>31</v>
      </c>
      <c r="I27" s="1"/>
    </row>
    <row r="28" spans="1:9" ht="14.5" x14ac:dyDescent="0.35">
      <c r="A28" s="6">
        <v>9</v>
      </c>
      <c r="B28" s="25" t="s">
        <v>586</v>
      </c>
      <c r="C28" s="15" t="s">
        <v>588</v>
      </c>
      <c r="D28" s="15"/>
      <c r="E28" s="26" t="s">
        <v>115</v>
      </c>
      <c r="F28" s="33" t="s">
        <v>597</v>
      </c>
      <c r="G28" s="16"/>
      <c r="H28" s="9" t="s">
        <v>32</v>
      </c>
      <c r="I28" s="1"/>
    </row>
    <row r="29" spans="1:9" ht="14.5" x14ac:dyDescent="0.35">
      <c r="A29" s="6">
        <v>10</v>
      </c>
      <c r="B29" s="25" t="s">
        <v>220</v>
      </c>
      <c r="C29" s="15" t="s">
        <v>589</v>
      </c>
      <c r="D29" s="15"/>
      <c r="E29" s="26" t="s">
        <v>174</v>
      </c>
      <c r="F29" s="33" t="s">
        <v>598</v>
      </c>
      <c r="G29" s="16"/>
      <c r="H29" s="9" t="s">
        <v>33</v>
      </c>
      <c r="I29" s="1"/>
    </row>
    <row r="30" spans="1:9" ht="14" x14ac:dyDescent="0.3">
      <c r="A30" s="6">
        <v>11</v>
      </c>
      <c r="B30" s="14"/>
      <c r="C30" s="15"/>
      <c r="D30" s="15"/>
      <c r="E30" s="16"/>
      <c r="F30" s="16"/>
      <c r="G30" s="16"/>
      <c r="H30" s="9" t="s">
        <v>34</v>
      </c>
      <c r="I30" s="1"/>
    </row>
    <row r="31" spans="1:9" ht="14" x14ac:dyDescent="0.3">
      <c r="A31" s="6">
        <v>12</v>
      </c>
      <c r="B31" s="14"/>
      <c r="C31" s="15"/>
      <c r="D31" s="15"/>
      <c r="E31" s="16"/>
      <c r="F31" s="16"/>
      <c r="G31" s="16"/>
      <c r="H31" s="9" t="s">
        <v>35</v>
      </c>
      <c r="I31" s="1"/>
    </row>
    <row r="32" spans="1:9" ht="14" x14ac:dyDescent="0.3">
      <c r="A32" s="6">
        <v>13</v>
      </c>
      <c r="B32" s="14"/>
      <c r="C32" s="15"/>
      <c r="D32" s="15"/>
      <c r="E32" s="16"/>
      <c r="F32" s="16"/>
      <c r="G32" s="16"/>
      <c r="H32" s="9" t="s">
        <v>36</v>
      </c>
      <c r="I32" s="1"/>
    </row>
    <row r="33" spans="1:9" ht="14" x14ac:dyDescent="0.3">
      <c r="A33" s="6">
        <v>14</v>
      </c>
      <c r="B33" s="14"/>
      <c r="C33" s="15"/>
      <c r="D33" s="15"/>
      <c r="E33" s="16"/>
      <c r="F33" s="16"/>
      <c r="G33" s="16"/>
      <c r="H33" s="9" t="s">
        <v>37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E40">
    <cfRule type="expression" dxfId="59" priority="7" stopIfTrue="1">
      <formula>MOD(ROW(),2)=0</formula>
    </cfRule>
    <cfRule type="expression" dxfId="58" priority="8" stopIfTrue="1">
      <formula>MOD(ROW(),2)=1</formula>
    </cfRule>
  </conditionalFormatting>
  <conditionalFormatting sqref="C20">
    <cfRule type="expression" dxfId="57" priority="5" stopIfTrue="1">
      <formula>MOD(ROW(),2)=0</formula>
    </cfRule>
    <cfRule type="expression" dxfId="56" priority="6" stopIfTrue="1">
      <formula>MOD(ROW(),2)=1</formula>
    </cfRule>
  </conditionalFormatting>
  <conditionalFormatting sqref="F20:G40">
    <cfRule type="expression" dxfId="55" priority="1" stopIfTrue="1">
      <formula>MOD(ROW(),2)=0</formula>
    </cfRule>
    <cfRule type="expression" dxfId="5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I44"/>
  <sheetViews>
    <sheetView showGridLines="0" topLeftCell="A19" zoomScaleNormal="100" workbookViewId="0">
      <selection activeCell="H29" sqref="H29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62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10277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3183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31">
        <f>805+771+1048</f>
        <v>2624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31">
        <v>559</v>
      </c>
    </row>
    <row r="11" spans="1:9" ht="14.5" thickBot="1" x14ac:dyDescent="0.35">
      <c r="A11" s="5"/>
      <c r="B11" s="23" t="s">
        <v>10</v>
      </c>
      <c r="C11" s="23"/>
      <c r="D11" s="23"/>
      <c r="E11" s="23"/>
      <c r="F11" s="23"/>
      <c r="G11" s="36">
        <v>0.309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9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18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7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200</v>
      </c>
      <c r="C20" s="12" t="s">
        <v>599</v>
      </c>
      <c r="D20" s="12"/>
      <c r="E20" s="26" t="s">
        <v>189</v>
      </c>
      <c r="F20" s="32" t="s">
        <v>629</v>
      </c>
      <c r="G20" s="13"/>
      <c r="H20" s="9" t="s">
        <v>24</v>
      </c>
      <c r="I20" s="1"/>
    </row>
    <row r="21" spans="1:9" ht="14.5" x14ac:dyDescent="0.35">
      <c r="A21" s="6">
        <v>2</v>
      </c>
      <c r="B21" s="25" t="s">
        <v>161</v>
      </c>
      <c r="C21" s="15" t="s">
        <v>600</v>
      </c>
      <c r="D21" s="15"/>
      <c r="E21" s="26" t="s">
        <v>112</v>
      </c>
      <c r="F21" s="33" t="s">
        <v>630</v>
      </c>
      <c r="G21" s="16"/>
      <c r="H21" s="9" t="s">
        <v>25</v>
      </c>
      <c r="I21" s="1"/>
    </row>
    <row r="22" spans="1:9" ht="14.5" x14ac:dyDescent="0.35">
      <c r="A22" s="6">
        <v>3</v>
      </c>
      <c r="B22" s="25" t="s">
        <v>601</v>
      </c>
      <c r="C22" s="15" t="s">
        <v>602</v>
      </c>
      <c r="D22" s="15" t="s">
        <v>111</v>
      </c>
      <c r="E22" s="26" t="s">
        <v>112</v>
      </c>
      <c r="F22" s="33" t="s">
        <v>631</v>
      </c>
      <c r="G22" s="16"/>
      <c r="H22" s="9" t="s">
        <v>26</v>
      </c>
      <c r="I22" s="1"/>
    </row>
    <row r="23" spans="1:9" ht="14.5" x14ac:dyDescent="0.35">
      <c r="A23" s="6">
        <v>4</v>
      </c>
      <c r="B23" s="25" t="s">
        <v>603</v>
      </c>
      <c r="C23" s="15" t="s">
        <v>604</v>
      </c>
      <c r="D23" s="15" t="s">
        <v>111</v>
      </c>
      <c r="E23" s="26" t="s">
        <v>174</v>
      </c>
      <c r="F23" s="33" t="s">
        <v>632</v>
      </c>
      <c r="G23" s="16"/>
      <c r="H23" s="9" t="s">
        <v>27</v>
      </c>
      <c r="I23" s="1"/>
    </row>
    <row r="24" spans="1:9" ht="14.5" x14ac:dyDescent="0.35">
      <c r="A24" s="6">
        <v>5</v>
      </c>
      <c r="B24" s="25" t="s">
        <v>605</v>
      </c>
      <c r="C24" s="15" t="s">
        <v>606</v>
      </c>
      <c r="D24" s="15"/>
      <c r="E24" s="26" t="s">
        <v>173</v>
      </c>
      <c r="F24" s="33" t="s">
        <v>634</v>
      </c>
      <c r="G24" s="16"/>
      <c r="H24" s="9" t="s">
        <v>28</v>
      </c>
      <c r="I24" s="1"/>
    </row>
    <row r="25" spans="1:9" ht="14.5" x14ac:dyDescent="0.35">
      <c r="A25" s="6">
        <v>6</v>
      </c>
      <c r="B25" s="25" t="s">
        <v>607</v>
      </c>
      <c r="C25" s="15" t="s">
        <v>608</v>
      </c>
      <c r="D25" s="15" t="s">
        <v>111</v>
      </c>
      <c r="E25" s="26" t="s">
        <v>173</v>
      </c>
      <c r="F25" s="33" t="s">
        <v>635</v>
      </c>
      <c r="G25" s="16"/>
      <c r="H25" s="9" t="s">
        <v>29</v>
      </c>
      <c r="I25" s="1"/>
    </row>
    <row r="26" spans="1:9" ht="14.5" x14ac:dyDescent="0.35">
      <c r="A26" s="6">
        <v>7</v>
      </c>
      <c r="B26" s="25" t="s">
        <v>609</v>
      </c>
      <c r="C26" s="15" t="s">
        <v>610</v>
      </c>
      <c r="D26" s="15"/>
      <c r="E26" s="26" t="s">
        <v>118</v>
      </c>
      <c r="F26" s="33" t="s">
        <v>636</v>
      </c>
      <c r="G26" s="16"/>
      <c r="H26" s="9" t="s">
        <v>30</v>
      </c>
      <c r="I26" s="1"/>
    </row>
    <row r="27" spans="1:9" ht="14.5" x14ac:dyDescent="0.35">
      <c r="A27" s="6">
        <v>8</v>
      </c>
      <c r="B27" s="25" t="s">
        <v>611</v>
      </c>
      <c r="C27" s="15" t="s">
        <v>612</v>
      </c>
      <c r="D27" s="15"/>
      <c r="E27" s="26" t="s">
        <v>116</v>
      </c>
      <c r="F27" s="33" t="s">
        <v>637</v>
      </c>
      <c r="G27" s="16"/>
      <c r="H27" s="9" t="s">
        <v>31</v>
      </c>
      <c r="I27" s="1"/>
    </row>
    <row r="28" spans="1:9" ht="14.5" x14ac:dyDescent="0.35">
      <c r="A28" s="6">
        <v>9</v>
      </c>
      <c r="B28" s="25" t="s">
        <v>613</v>
      </c>
      <c r="C28" s="15" t="s">
        <v>614</v>
      </c>
      <c r="D28" s="15"/>
      <c r="E28" s="26" t="s">
        <v>173</v>
      </c>
      <c r="F28" s="33" t="s">
        <v>638</v>
      </c>
      <c r="G28" s="16"/>
      <c r="H28" s="9" t="s">
        <v>32</v>
      </c>
      <c r="I28" s="1"/>
    </row>
    <row r="29" spans="1:9" ht="14.5" x14ac:dyDescent="0.35">
      <c r="A29" s="6">
        <v>10</v>
      </c>
      <c r="B29" s="25" t="s">
        <v>615</v>
      </c>
      <c r="C29" s="15" t="s">
        <v>616</v>
      </c>
      <c r="D29" s="15" t="s">
        <v>111</v>
      </c>
      <c r="E29" s="26" t="s">
        <v>112</v>
      </c>
      <c r="F29" s="33" t="s">
        <v>639</v>
      </c>
      <c r="G29" s="16"/>
      <c r="H29" s="9" t="s">
        <v>33</v>
      </c>
      <c r="I29" s="1"/>
    </row>
    <row r="30" spans="1:9" ht="14.5" x14ac:dyDescent="0.35">
      <c r="A30" s="6">
        <v>11</v>
      </c>
      <c r="B30" s="25" t="s">
        <v>617</v>
      </c>
      <c r="C30" s="15" t="s">
        <v>618</v>
      </c>
      <c r="D30" s="15"/>
      <c r="E30" s="26" t="s">
        <v>174</v>
      </c>
      <c r="F30" s="33" t="s">
        <v>640</v>
      </c>
      <c r="G30" s="16"/>
      <c r="H30" s="9" t="s">
        <v>34</v>
      </c>
      <c r="I30" s="1"/>
    </row>
    <row r="31" spans="1:9" ht="14.5" x14ac:dyDescent="0.35">
      <c r="A31" s="6">
        <v>12</v>
      </c>
      <c r="B31" s="25" t="s">
        <v>619</v>
      </c>
      <c r="C31" s="15" t="s">
        <v>620</v>
      </c>
      <c r="D31" s="15"/>
      <c r="E31" s="26" t="s">
        <v>116</v>
      </c>
      <c r="F31" s="33" t="s">
        <v>641</v>
      </c>
      <c r="G31" s="16"/>
      <c r="H31" s="9" t="s">
        <v>35</v>
      </c>
      <c r="I31" s="1"/>
    </row>
    <row r="32" spans="1:9" ht="14.5" x14ac:dyDescent="0.35">
      <c r="A32" s="6">
        <v>13</v>
      </c>
      <c r="B32" s="25" t="s">
        <v>315</v>
      </c>
      <c r="C32" s="15" t="s">
        <v>621</v>
      </c>
      <c r="D32" s="15"/>
      <c r="E32" s="26" t="s">
        <v>189</v>
      </c>
      <c r="F32" s="33" t="s">
        <v>642</v>
      </c>
      <c r="G32" s="16"/>
      <c r="H32" s="9" t="s">
        <v>36</v>
      </c>
      <c r="I32" s="1"/>
    </row>
    <row r="33" spans="1:9" ht="14.5" x14ac:dyDescent="0.35">
      <c r="A33" s="6">
        <v>14</v>
      </c>
      <c r="B33" s="25" t="s">
        <v>219</v>
      </c>
      <c r="C33" s="15" t="s">
        <v>622</v>
      </c>
      <c r="D33" s="15"/>
      <c r="E33" s="26" t="s">
        <v>115</v>
      </c>
      <c r="F33" s="33" t="s">
        <v>281</v>
      </c>
      <c r="G33" s="16" t="s">
        <v>119</v>
      </c>
      <c r="H33" s="9" t="s">
        <v>37</v>
      </c>
      <c r="I33" s="1"/>
    </row>
    <row r="34" spans="1:9" ht="14.5" x14ac:dyDescent="0.35">
      <c r="A34" s="6">
        <v>15</v>
      </c>
      <c r="B34" s="25" t="s">
        <v>623</v>
      </c>
      <c r="C34" s="15" t="s">
        <v>624</v>
      </c>
      <c r="D34" s="15"/>
      <c r="E34" s="26" t="s">
        <v>115</v>
      </c>
      <c r="F34" s="33" t="s">
        <v>449</v>
      </c>
      <c r="G34" s="16" t="s">
        <v>119</v>
      </c>
      <c r="H34" s="9" t="s">
        <v>38</v>
      </c>
      <c r="I34" s="1"/>
    </row>
    <row r="35" spans="1:9" ht="14.5" x14ac:dyDescent="0.35">
      <c r="A35" s="6">
        <v>16</v>
      </c>
      <c r="B35" s="25" t="s">
        <v>625</v>
      </c>
      <c r="C35" s="15" t="s">
        <v>626</v>
      </c>
      <c r="D35" s="15"/>
      <c r="E35" s="26" t="s">
        <v>174</v>
      </c>
      <c r="F35" s="33" t="s">
        <v>564</v>
      </c>
      <c r="G35" s="16"/>
      <c r="H35" s="9" t="s">
        <v>39</v>
      </c>
      <c r="I35" s="1"/>
    </row>
    <row r="36" spans="1:9" ht="14.5" x14ac:dyDescent="0.35">
      <c r="A36" s="6">
        <v>17</v>
      </c>
      <c r="B36" s="25" t="s">
        <v>627</v>
      </c>
      <c r="C36" s="15" t="s">
        <v>628</v>
      </c>
      <c r="D36" s="15" t="s">
        <v>111</v>
      </c>
      <c r="E36" s="26" t="s">
        <v>115</v>
      </c>
      <c r="F36" s="33" t="s">
        <v>643</v>
      </c>
      <c r="G36" s="16" t="s">
        <v>119</v>
      </c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E40">
    <cfRule type="expression" dxfId="53" priority="7" stopIfTrue="1">
      <formula>MOD(ROW(),2)=0</formula>
    </cfRule>
    <cfRule type="expression" dxfId="52" priority="8" stopIfTrue="1">
      <formula>MOD(ROW(),2)=1</formula>
    </cfRule>
  </conditionalFormatting>
  <conditionalFormatting sqref="C20">
    <cfRule type="expression" dxfId="51" priority="5" stopIfTrue="1">
      <formula>MOD(ROW(),2)=0</formula>
    </cfRule>
    <cfRule type="expression" dxfId="50" priority="6" stopIfTrue="1">
      <formula>MOD(ROW(),2)=1</formula>
    </cfRule>
  </conditionalFormatting>
  <conditionalFormatting sqref="F20:G40">
    <cfRule type="expression" dxfId="49" priority="1" stopIfTrue="1">
      <formula>MOD(ROW(),2)=0</formula>
    </cfRule>
    <cfRule type="expression" dxfId="4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/>
  <dimension ref="A1:I44"/>
  <sheetViews>
    <sheetView showGridLines="0" topLeftCell="A19" zoomScaleNormal="100" workbookViewId="0">
      <selection activeCell="G31" sqref="G31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63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10598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3931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31">
        <f>502+452+400+501+529+851</f>
        <v>3235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31">
        <v>696</v>
      </c>
    </row>
    <row r="11" spans="1:9" ht="14.5" thickBot="1" x14ac:dyDescent="0.35">
      <c r="A11" s="5"/>
      <c r="B11" s="23" t="s">
        <v>10</v>
      </c>
      <c r="C11" s="23"/>
      <c r="D11" s="23"/>
      <c r="E11" s="23"/>
      <c r="F11" s="23"/>
      <c r="G11" s="37">
        <v>0.37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15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6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10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/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644</v>
      </c>
      <c r="C20" s="12" t="s">
        <v>645</v>
      </c>
      <c r="D20" s="12"/>
      <c r="E20" s="26" t="s">
        <v>174</v>
      </c>
      <c r="F20" s="32" t="s">
        <v>672</v>
      </c>
      <c r="G20" s="13"/>
      <c r="H20" s="9" t="s">
        <v>24</v>
      </c>
      <c r="I20" s="1"/>
    </row>
    <row r="21" spans="1:9" ht="14.5" x14ac:dyDescent="0.35">
      <c r="A21" s="6">
        <v>2</v>
      </c>
      <c r="B21" s="25" t="s">
        <v>646</v>
      </c>
      <c r="C21" s="15" t="s">
        <v>463</v>
      </c>
      <c r="D21" s="15"/>
      <c r="E21" s="26" t="s">
        <v>174</v>
      </c>
      <c r="F21" s="33" t="s">
        <v>243</v>
      </c>
      <c r="G21" s="16"/>
      <c r="H21" s="9" t="s">
        <v>25</v>
      </c>
      <c r="I21" s="1"/>
    </row>
    <row r="22" spans="1:9" ht="14.5" x14ac:dyDescent="0.35">
      <c r="A22" s="6">
        <v>3</v>
      </c>
      <c r="B22" s="25" t="s">
        <v>647</v>
      </c>
      <c r="C22" s="15" t="s">
        <v>648</v>
      </c>
      <c r="D22" s="15" t="s">
        <v>111</v>
      </c>
      <c r="E22" s="26" t="s">
        <v>112</v>
      </c>
      <c r="F22" s="33" t="s">
        <v>673</v>
      </c>
      <c r="G22" s="16" t="s">
        <v>119</v>
      </c>
      <c r="H22" s="9" t="s">
        <v>26</v>
      </c>
      <c r="I22" s="1"/>
    </row>
    <row r="23" spans="1:9" ht="14.5" x14ac:dyDescent="0.35">
      <c r="A23" s="6">
        <v>4</v>
      </c>
      <c r="B23" s="25" t="s">
        <v>649</v>
      </c>
      <c r="C23" s="15" t="s">
        <v>650</v>
      </c>
      <c r="D23" s="15"/>
      <c r="E23" s="26" t="s">
        <v>115</v>
      </c>
      <c r="F23" s="33" t="s">
        <v>674</v>
      </c>
      <c r="G23" s="16" t="s">
        <v>119</v>
      </c>
      <c r="H23" s="9" t="s">
        <v>27</v>
      </c>
      <c r="I23" s="1"/>
    </row>
    <row r="24" spans="1:9" ht="14.5" x14ac:dyDescent="0.35">
      <c r="A24" s="6">
        <v>5</v>
      </c>
      <c r="B24" s="25" t="s">
        <v>651</v>
      </c>
      <c r="C24" s="15" t="s">
        <v>652</v>
      </c>
      <c r="D24" s="15"/>
      <c r="E24" s="26" t="s">
        <v>173</v>
      </c>
      <c r="F24" s="33" t="s">
        <v>675</v>
      </c>
      <c r="G24" s="16"/>
      <c r="H24" s="9" t="s">
        <v>28</v>
      </c>
      <c r="I24" s="1"/>
    </row>
    <row r="25" spans="1:9" ht="14.5" x14ac:dyDescent="0.35">
      <c r="A25" s="6">
        <v>6</v>
      </c>
      <c r="B25" s="25" t="s">
        <v>653</v>
      </c>
      <c r="C25" s="15" t="s">
        <v>654</v>
      </c>
      <c r="D25" s="15"/>
      <c r="E25" s="26" t="s">
        <v>116</v>
      </c>
      <c r="F25" s="33" t="s">
        <v>676</v>
      </c>
      <c r="G25" s="16"/>
      <c r="H25" s="9" t="s">
        <v>29</v>
      </c>
      <c r="I25" s="1"/>
    </row>
    <row r="26" spans="1:9" ht="14.5" x14ac:dyDescent="0.35">
      <c r="A26" s="6">
        <v>7</v>
      </c>
      <c r="B26" s="25" t="s">
        <v>655</v>
      </c>
      <c r="C26" s="15" t="s">
        <v>656</v>
      </c>
      <c r="D26" s="15"/>
      <c r="E26" s="26" t="s">
        <v>173</v>
      </c>
      <c r="F26" s="33" t="s">
        <v>677</v>
      </c>
      <c r="G26" s="16"/>
      <c r="H26" s="9" t="s">
        <v>30</v>
      </c>
      <c r="I26" s="1"/>
    </row>
    <row r="27" spans="1:9" ht="14.5" x14ac:dyDescent="0.35">
      <c r="A27" s="6">
        <v>8</v>
      </c>
      <c r="B27" s="25" t="s">
        <v>657</v>
      </c>
      <c r="C27" s="15" t="s">
        <v>658</v>
      </c>
      <c r="D27" s="15" t="s">
        <v>111</v>
      </c>
      <c r="E27" s="26" t="s">
        <v>116</v>
      </c>
      <c r="F27" s="33" t="s">
        <v>678</v>
      </c>
      <c r="G27" s="16"/>
      <c r="H27" s="9" t="s">
        <v>31</v>
      </c>
      <c r="I27" s="1"/>
    </row>
    <row r="28" spans="1:9" ht="14.5" x14ac:dyDescent="0.35">
      <c r="A28" s="6">
        <v>9</v>
      </c>
      <c r="B28" s="25" t="s">
        <v>659</v>
      </c>
      <c r="C28" s="15" t="s">
        <v>660</v>
      </c>
      <c r="D28" s="15"/>
      <c r="E28" s="26" t="s">
        <v>115</v>
      </c>
      <c r="F28" s="33" t="s">
        <v>679</v>
      </c>
      <c r="G28" s="16" t="s">
        <v>119</v>
      </c>
      <c r="H28" s="9" t="s">
        <v>32</v>
      </c>
      <c r="I28" s="1"/>
    </row>
    <row r="29" spans="1:9" ht="14.5" x14ac:dyDescent="0.35">
      <c r="A29" s="6">
        <v>10</v>
      </c>
      <c r="B29" s="25" t="s">
        <v>307</v>
      </c>
      <c r="C29" s="15" t="s">
        <v>661</v>
      </c>
      <c r="D29" s="15"/>
      <c r="E29" s="26" t="s">
        <v>115</v>
      </c>
      <c r="F29" s="33" t="s">
        <v>680</v>
      </c>
      <c r="G29" s="16"/>
      <c r="H29" s="9" t="s">
        <v>33</v>
      </c>
      <c r="I29" s="1"/>
    </row>
    <row r="30" spans="1:9" ht="14.5" x14ac:dyDescent="0.35">
      <c r="A30" s="6">
        <v>11</v>
      </c>
      <c r="B30" s="25" t="s">
        <v>662</v>
      </c>
      <c r="C30" s="15" t="s">
        <v>663</v>
      </c>
      <c r="D30" s="15"/>
      <c r="E30" s="26" t="s">
        <v>112</v>
      </c>
      <c r="F30" s="33" t="s">
        <v>681</v>
      </c>
      <c r="G30" s="16"/>
      <c r="H30" s="9" t="s">
        <v>34</v>
      </c>
      <c r="I30" s="1"/>
    </row>
    <row r="31" spans="1:9" ht="14.5" x14ac:dyDescent="0.35">
      <c r="A31" s="6">
        <v>12</v>
      </c>
      <c r="B31" s="25" t="s">
        <v>664</v>
      </c>
      <c r="C31" s="15" t="s">
        <v>665</v>
      </c>
      <c r="D31" s="15"/>
      <c r="E31" s="26" t="s">
        <v>116</v>
      </c>
      <c r="F31" s="33" t="s">
        <v>682</v>
      </c>
      <c r="G31" s="16"/>
      <c r="H31" s="9" t="s">
        <v>35</v>
      </c>
      <c r="I31" s="1"/>
    </row>
    <row r="32" spans="1:9" ht="14.5" x14ac:dyDescent="0.35">
      <c r="A32" s="6">
        <v>13</v>
      </c>
      <c r="B32" s="25" t="s">
        <v>666</v>
      </c>
      <c r="C32" s="15" t="s">
        <v>667</v>
      </c>
      <c r="D32" s="15"/>
      <c r="E32" s="26" t="s">
        <v>112</v>
      </c>
      <c r="F32" s="33" t="s">
        <v>590</v>
      </c>
      <c r="G32" s="16"/>
      <c r="H32" s="9" t="s">
        <v>36</v>
      </c>
      <c r="I32" s="1"/>
    </row>
    <row r="33" spans="1:9" ht="14.5" x14ac:dyDescent="0.35">
      <c r="A33" s="6">
        <v>14</v>
      </c>
      <c r="B33" s="25" t="s">
        <v>668</v>
      </c>
      <c r="C33" s="15" t="s">
        <v>669</v>
      </c>
      <c r="D33" s="15" t="s">
        <v>111</v>
      </c>
      <c r="E33" s="26" t="s">
        <v>174</v>
      </c>
      <c r="F33" s="33" t="s">
        <v>683</v>
      </c>
      <c r="G33" s="16"/>
      <c r="H33" s="9" t="s">
        <v>37</v>
      </c>
      <c r="I33" s="1"/>
    </row>
    <row r="34" spans="1:9" ht="14.5" x14ac:dyDescent="0.35">
      <c r="A34" s="6">
        <v>15</v>
      </c>
      <c r="B34" s="25" t="s">
        <v>670</v>
      </c>
      <c r="C34" s="15" t="s">
        <v>671</v>
      </c>
      <c r="D34" s="15"/>
      <c r="E34" s="26" t="s">
        <v>173</v>
      </c>
      <c r="F34" s="33" t="s">
        <v>684</v>
      </c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E40">
    <cfRule type="expression" dxfId="47" priority="7" stopIfTrue="1">
      <formula>MOD(ROW(),2)=0</formula>
    </cfRule>
    <cfRule type="expression" dxfId="46" priority="8" stopIfTrue="1">
      <formula>MOD(ROW(),2)=1</formula>
    </cfRule>
  </conditionalFormatting>
  <conditionalFormatting sqref="C20">
    <cfRule type="expression" dxfId="45" priority="5" stopIfTrue="1">
      <formula>MOD(ROW(),2)=0</formula>
    </cfRule>
    <cfRule type="expression" dxfId="44" priority="6" stopIfTrue="1">
      <formula>MOD(ROW(),2)=1</formula>
    </cfRule>
  </conditionalFormatting>
  <conditionalFormatting sqref="F20:G40">
    <cfRule type="expression" dxfId="43" priority="1" stopIfTrue="1">
      <formula>MOD(ROW(),2)=0</formula>
    </cfRule>
    <cfRule type="expression" dxfId="4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"/>
  <dimension ref="A1:I44"/>
  <sheetViews>
    <sheetView showGridLines="0" topLeftCell="A19" zoomScaleNormal="100" workbookViewId="0">
      <selection activeCell="G28" sqref="G28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64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61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7333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3851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31">
        <f>564+556+781+856</f>
        <v>2757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31">
        <v>1094</v>
      </c>
    </row>
    <row r="11" spans="1:9" ht="14.5" thickBot="1" x14ac:dyDescent="0.35">
      <c r="A11" s="5"/>
      <c r="B11" s="23" t="s">
        <v>10</v>
      </c>
      <c r="C11" s="23"/>
      <c r="D11" s="23"/>
      <c r="E11" s="23"/>
      <c r="F11" s="23"/>
      <c r="G11" s="36">
        <v>0.52500000000000002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4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10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685</v>
      </c>
      <c r="C20" s="12" t="s">
        <v>686</v>
      </c>
      <c r="D20" s="12"/>
      <c r="E20" s="26" t="s">
        <v>116</v>
      </c>
      <c r="F20" s="32" t="s">
        <v>705</v>
      </c>
      <c r="G20" s="13"/>
      <c r="H20" s="9" t="s">
        <v>24</v>
      </c>
      <c r="I20" s="1"/>
    </row>
    <row r="21" spans="1:9" ht="14.5" x14ac:dyDescent="0.35">
      <c r="A21" s="6">
        <v>2</v>
      </c>
      <c r="B21" s="25" t="s">
        <v>687</v>
      </c>
      <c r="C21" s="15" t="s">
        <v>688</v>
      </c>
      <c r="D21" s="15"/>
      <c r="E21" s="26" t="s">
        <v>174</v>
      </c>
      <c r="F21" s="33" t="s">
        <v>706</v>
      </c>
      <c r="G21" s="16"/>
      <c r="H21" s="9" t="s">
        <v>25</v>
      </c>
      <c r="I21" s="1"/>
    </row>
    <row r="22" spans="1:9" ht="14.5" x14ac:dyDescent="0.35">
      <c r="A22" s="6">
        <v>3</v>
      </c>
      <c r="B22" s="25" t="s">
        <v>689</v>
      </c>
      <c r="C22" s="15" t="s">
        <v>690</v>
      </c>
      <c r="D22" s="15"/>
      <c r="E22" s="26" t="s">
        <v>173</v>
      </c>
      <c r="F22" s="33" t="s">
        <v>707</v>
      </c>
      <c r="G22" s="16" t="s">
        <v>119</v>
      </c>
      <c r="H22" s="9" t="s">
        <v>26</v>
      </c>
      <c r="I22" s="1"/>
    </row>
    <row r="23" spans="1:9" ht="14.5" x14ac:dyDescent="0.35">
      <c r="A23" s="6">
        <v>4</v>
      </c>
      <c r="B23" s="25" t="s">
        <v>691</v>
      </c>
      <c r="C23" s="15" t="s">
        <v>692</v>
      </c>
      <c r="D23" s="15" t="s">
        <v>111</v>
      </c>
      <c r="E23" s="26" t="s">
        <v>114</v>
      </c>
      <c r="F23" s="33" t="s">
        <v>708</v>
      </c>
      <c r="G23" s="16"/>
      <c r="H23" s="9" t="s">
        <v>27</v>
      </c>
      <c r="I23" s="1"/>
    </row>
    <row r="24" spans="1:9" ht="14.5" x14ac:dyDescent="0.35">
      <c r="A24" s="6">
        <v>5</v>
      </c>
      <c r="B24" s="25" t="s">
        <v>693</v>
      </c>
      <c r="C24" s="15" t="s">
        <v>694</v>
      </c>
      <c r="D24" s="15" t="s">
        <v>111</v>
      </c>
      <c r="E24" s="26" t="s">
        <v>115</v>
      </c>
      <c r="F24" s="33" t="s">
        <v>709</v>
      </c>
      <c r="G24" s="16"/>
      <c r="H24" s="9" t="s">
        <v>28</v>
      </c>
      <c r="I24" s="1"/>
    </row>
    <row r="25" spans="1:9" ht="14.5" x14ac:dyDescent="0.35">
      <c r="A25" s="6">
        <v>6</v>
      </c>
      <c r="B25" s="25" t="s">
        <v>695</v>
      </c>
      <c r="C25" s="15" t="s">
        <v>696</v>
      </c>
      <c r="D25" s="15"/>
      <c r="E25" s="26" t="s">
        <v>174</v>
      </c>
      <c r="F25" s="33" t="s">
        <v>710</v>
      </c>
      <c r="G25" s="16"/>
      <c r="H25" s="9" t="s">
        <v>29</v>
      </c>
      <c r="I25" s="1"/>
    </row>
    <row r="26" spans="1:9" ht="14.5" x14ac:dyDescent="0.35">
      <c r="A26" s="6">
        <v>7</v>
      </c>
      <c r="B26" s="25" t="s">
        <v>697</v>
      </c>
      <c r="C26" s="15" t="s">
        <v>698</v>
      </c>
      <c r="D26" s="15"/>
      <c r="E26" s="26" t="s">
        <v>114</v>
      </c>
      <c r="F26" s="33" t="s">
        <v>711</v>
      </c>
      <c r="G26" s="16"/>
      <c r="H26" s="9" t="s">
        <v>30</v>
      </c>
      <c r="I26" s="1"/>
    </row>
    <row r="27" spans="1:9" ht="14.5" x14ac:dyDescent="0.35">
      <c r="A27" s="6">
        <v>8</v>
      </c>
      <c r="B27" s="25" t="s">
        <v>699</v>
      </c>
      <c r="C27" s="15" t="s">
        <v>700</v>
      </c>
      <c r="D27" s="15"/>
      <c r="E27" s="26" t="s">
        <v>115</v>
      </c>
      <c r="F27" s="33" t="s">
        <v>712</v>
      </c>
      <c r="G27" s="16"/>
      <c r="H27" s="9" t="s">
        <v>31</v>
      </c>
      <c r="I27" s="1"/>
    </row>
    <row r="28" spans="1:9" ht="14.5" x14ac:dyDescent="0.35">
      <c r="A28" s="6">
        <v>9</v>
      </c>
      <c r="B28" s="25" t="s">
        <v>701</v>
      </c>
      <c r="C28" s="15" t="s">
        <v>702</v>
      </c>
      <c r="D28" s="15"/>
      <c r="E28" s="26" t="s">
        <v>173</v>
      </c>
      <c r="F28" s="33" t="s">
        <v>713</v>
      </c>
      <c r="G28" s="16" t="s">
        <v>119</v>
      </c>
      <c r="H28" s="9" t="s">
        <v>32</v>
      </c>
      <c r="I28" s="1"/>
    </row>
    <row r="29" spans="1:9" ht="14.5" x14ac:dyDescent="0.35">
      <c r="A29" s="6">
        <v>10</v>
      </c>
      <c r="B29" s="25" t="s">
        <v>703</v>
      </c>
      <c r="C29" s="15" t="s">
        <v>704</v>
      </c>
      <c r="D29" s="15"/>
      <c r="E29" s="26" t="s">
        <v>116</v>
      </c>
      <c r="F29" s="33" t="s">
        <v>714</v>
      </c>
      <c r="G29" s="16"/>
      <c r="H29" s="9" t="s">
        <v>33</v>
      </c>
      <c r="I29" s="1"/>
    </row>
    <row r="30" spans="1:9" ht="14" x14ac:dyDescent="0.3">
      <c r="A30" s="6">
        <v>11</v>
      </c>
      <c r="B30" s="14"/>
      <c r="C30" s="15"/>
      <c r="D30" s="15"/>
      <c r="E30" s="16"/>
      <c r="F30" s="16"/>
      <c r="G30" s="16"/>
      <c r="H30" s="9" t="s">
        <v>34</v>
      </c>
      <c r="I30" s="1"/>
    </row>
    <row r="31" spans="1:9" ht="14" x14ac:dyDescent="0.3">
      <c r="A31" s="6">
        <v>12</v>
      </c>
      <c r="B31" s="14"/>
      <c r="C31" s="15"/>
      <c r="D31" s="15"/>
      <c r="E31" s="16"/>
      <c r="F31" s="16"/>
      <c r="G31" s="16"/>
      <c r="H31" s="9" t="s">
        <v>35</v>
      </c>
      <c r="I31" s="1"/>
    </row>
    <row r="32" spans="1:9" ht="14" x14ac:dyDescent="0.3">
      <c r="A32" s="6">
        <v>13</v>
      </c>
      <c r="B32" s="14"/>
      <c r="C32" s="15"/>
      <c r="D32" s="15"/>
      <c r="E32" s="16"/>
      <c r="F32" s="16"/>
      <c r="G32" s="16"/>
      <c r="H32" s="9" t="s">
        <v>36</v>
      </c>
      <c r="I32" s="1"/>
    </row>
    <row r="33" spans="1:9" ht="14" x14ac:dyDescent="0.3">
      <c r="A33" s="6">
        <v>14</v>
      </c>
      <c r="B33" s="14"/>
      <c r="C33" s="15"/>
      <c r="D33" s="15"/>
      <c r="E33" s="16"/>
      <c r="F33" s="16"/>
      <c r="G33" s="16"/>
      <c r="H33" s="9" t="s">
        <v>37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E40">
    <cfRule type="expression" dxfId="41" priority="7" stopIfTrue="1">
      <formula>MOD(ROW(),2)=0</formula>
    </cfRule>
    <cfRule type="expression" dxfId="40" priority="8" stopIfTrue="1">
      <formula>MOD(ROW(),2)=1</formula>
    </cfRule>
  </conditionalFormatting>
  <conditionalFormatting sqref="C20">
    <cfRule type="expression" dxfId="39" priority="5" stopIfTrue="1">
      <formula>MOD(ROW(),2)=0</formula>
    </cfRule>
    <cfRule type="expression" dxfId="38" priority="6" stopIfTrue="1">
      <formula>MOD(ROW(),2)=1</formula>
    </cfRule>
  </conditionalFormatting>
  <conditionalFormatting sqref="F20:G40">
    <cfRule type="expression" dxfId="37" priority="1" stopIfTrue="1">
      <formula>MOD(ROW(),2)=0</formula>
    </cfRule>
    <cfRule type="expression" dxfId="3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"/>
  <dimension ref="A1:I44"/>
  <sheetViews>
    <sheetView showGridLines="0" topLeftCell="A19" zoomScaleNormal="100" workbookViewId="0">
      <selection activeCell="G26" sqref="G26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65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9905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4190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31">
        <f>823+602+459+720+857</f>
        <v>3461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31">
        <v>729</v>
      </c>
    </row>
    <row r="11" spans="1:9" ht="14.5" thickBot="1" x14ac:dyDescent="0.35">
      <c r="A11" s="5"/>
      <c r="B11" s="23" t="s">
        <v>10</v>
      </c>
      <c r="C11" s="23"/>
      <c r="D11" s="23"/>
      <c r="E11" s="23"/>
      <c r="F11" s="23"/>
      <c r="G11" s="36">
        <v>0.42299999999999999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8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13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3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161</v>
      </c>
      <c r="C20" s="12" t="s">
        <v>715</v>
      </c>
      <c r="D20" s="12"/>
      <c r="E20" s="26" t="s">
        <v>112</v>
      </c>
      <c r="F20" s="32" t="s">
        <v>741</v>
      </c>
      <c r="G20" s="13"/>
      <c r="H20" s="9" t="s">
        <v>24</v>
      </c>
      <c r="I20" s="1"/>
    </row>
    <row r="21" spans="1:9" ht="14.5" x14ac:dyDescent="0.35">
      <c r="A21" s="6">
        <v>2</v>
      </c>
      <c r="B21" s="25" t="s">
        <v>716</v>
      </c>
      <c r="C21" s="15" t="s">
        <v>717</v>
      </c>
      <c r="D21" s="15"/>
      <c r="E21" s="26" t="s">
        <v>115</v>
      </c>
      <c r="F21" s="33" t="s">
        <v>742</v>
      </c>
      <c r="G21" s="16" t="s">
        <v>119</v>
      </c>
      <c r="H21" s="9" t="s">
        <v>25</v>
      </c>
      <c r="I21" s="1"/>
    </row>
    <row r="22" spans="1:9" ht="14.5" x14ac:dyDescent="0.35">
      <c r="A22" s="6">
        <v>3</v>
      </c>
      <c r="B22" s="25" t="s">
        <v>718</v>
      </c>
      <c r="C22" s="15" t="s">
        <v>719</v>
      </c>
      <c r="D22" s="15" t="s">
        <v>111</v>
      </c>
      <c r="E22" s="26" t="s">
        <v>115</v>
      </c>
      <c r="F22" s="33" t="s">
        <v>743</v>
      </c>
      <c r="G22" s="16" t="s">
        <v>119</v>
      </c>
      <c r="H22" s="9" t="s">
        <v>26</v>
      </c>
      <c r="I22" s="1"/>
    </row>
    <row r="23" spans="1:9" ht="14.5" x14ac:dyDescent="0.35">
      <c r="A23" s="6">
        <v>4</v>
      </c>
      <c r="B23" s="25" t="s">
        <v>720</v>
      </c>
      <c r="C23" s="15" t="s">
        <v>721</v>
      </c>
      <c r="D23" s="15"/>
      <c r="E23" s="26" t="s">
        <v>112</v>
      </c>
      <c r="F23" s="33" t="s">
        <v>744</v>
      </c>
      <c r="G23" s="16"/>
      <c r="H23" s="9" t="s">
        <v>27</v>
      </c>
      <c r="I23" s="1"/>
    </row>
    <row r="24" spans="1:9" ht="14.5" x14ac:dyDescent="0.35">
      <c r="A24" s="6">
        <v>5</v>
      </c>
      <c r="B24" s="25" t="s">
        <v>722</v>
      </c>
      <c r="C24" s="15" t="s">
        <v>723</v>
      </c>
      <c r="D24" s="15"/>
      <c r="E24" s="26" t="s">
        <v>173</v>
      </c>
      <c r="F24" s="33" t="s">
        <v>677</v>
      </c>
      <c r="G24" s="16"/>
      <c r="H24" s="9" t="s">
        <v>28</v>
      </c>
      <c r="I24" s="1"/>
    </row>
    <row r="25" spans="1:9" ht="14.5" x14ac:dyDescent="0.35">
      <c r="A25" s="6">
        <v>6</v>
      </c>
      <c r="B25" s="25" t="s">
        <v>724</v>
      </c>
      <c r="C25" s="15" t="s">
        <v>728</v>
      </c>
      <c r="D25" s="15"/>
      <c r="E25" s="26" t="s">
        <v>112</v>
      </c>
      <c r="F25" s="33" t="s">
        <v>745</v>
      </c>
      <c r="G25" s="16"/>
      <c r="H25" s="9" t="s">
        <v>29</v>
      </c>
      <c r="I25" s="1"/>
    </row>
    <row r="26" spans="1:9" ht="14.5" x14ac:dyDescent="0.35">
      <c r="A26" s="6">
        <v>7</v>
      </c>
      <c r="B26" s="25" t="s">
        <v>725</v>
      </c>
      <c r="C26" s="15" t="s">
        <v>727</v>
      </c>
      <c r="D26" s="15"/>
      <c r="E26" s="26" t="s">
        <v>115</v>
      </c>
      <c r="F26" s="33" t="s">
        <v>245</v>
      </c>
      <c r="G26" s="16" t="s">
        <v>119</v>
      </c>
      <c r="H26" s="9" t="s">
        <v>30</v>
      </c>
      <c r="I26" s="1"/>
    </row>
    <row r="27" spans="1:9" ht="14.5" x14ac:dyDescent="0.35">
      <c r="A27" s="6">
        <v>8</v>
      </c>
      <c r="B27" s="25" t="s">
        <v>726</v>
      </c>
      <c r="C27" s="15" t="s">
        <v>729</v>
      </c>
      <c r="D27" s="15" t="s">
        <v>111</v>
      </c>
      <c r="E27" s="26" t="s">
        <v>174</v>
      </c>
      <c r="F27" s="33" t="s">
        <v>746</v>
      </c>
      <c r="G27" s="16"/>
      <c r="H27" s="9" t="s">
        <v>31</v>
      </c>
      <c r="I27" s="1"/>
    </row>
    <row r="28" spans="1:9" ht="14.5" x14ac:dyDescent="0.35">
      <c r="A28" s="6">
        <v>9</v>
      </c>
      <c r="B28" s="25" t="s">
        <v>730</v>
      </c>
      <c r="C28" s="15" t="s">
        <v>731</v>
      </c>
      <c r="D28" s="15" t="s">
        <v>111</v>
      </c>
      <c r="E28" s="26" t="s">
        <v>174</v>
      </c>
      <c r="F28" s="33" t="s">
        <v>747</v>
      </c>
      <c r="G28" s="16"/>
      <c r="H28" s="9" t="s">
        <v>32</v>
      </c>
      <c r="I28" s="1"/>
    </row>
    <row r="29" spans="1:9" ht="14.5" x14ac:dyDescent="0.35">
      <c r="A29" s="6">
        <v>10</v>
      </c>
      <c r="B29" s="25" t="s">
        <v>732</v>
      </c>
      <c r="C29" s="15" t="s">
        <v>733</v>
      </c>
      <c r="D29" s="15"/>
      <c r="E29" s="26" t="s">
        <v>173</v>
      </c>
      <c r="F29" s="33" t="s">
        <v>748</v>
      </c>
      <c r="G29" s="16"/>
      <c r="H29" s="9" t="s">
        <v>33</v>
      </c>
      <c r="I29" s="1"/>
    </row>
    <row r="30" spans="1:9" ht="14.5" x14ac:dyDescent="0.35">
      <c r="A30" s="6">
        <v>11</v>
      </c>
      <c r="B30" s="25" t="s">
        <v>586</v>
      </c>
      <c r="C30" s="15" t="s">
        <v>734</v>
      </c>
      <c r="D30" s="15"/>
      <c r="E30" s="26" t="s">
        <v>174</v>
      </c>
      <c r="F30" s="33" t="s">
        <v>749</v>
      </c>
      <c r="G30" s="16"/>
      <c r="H30" s="9" t="s">
        <v>34</v>
      </c>
      <c r="I30" s="1"/>
    </row>
    <row r="31" spans="1:9" ht="14.5" x14ac:dyDescent="0.35">
      <c r="A31" s="6">
        <v>12</v>
      </c>
      <c r="B31" s="25" t="s">
        <v>735</v>
      </c>
      <c r="C31" s="15" t="s">
        <v>736</v>
      </c>
      <c r="D31" s="15"/>
      <c r="E31" s="26" t="s">
        <v>116</v>
      </c>
      <c r="F31" s="33" t="s">
        <v>750</v>
      </c>
      <c r="G31" s="16"/>
      <c r="H31" s="9" t="s">
        <v>35</v>
      </c>
      <c r="I31" s="1"/>
    </row>
    <row r="32" spans="1:9" ht="14.5" x14ac:dyDescent="0.35">
      <c r="A32" s="6">
        <v>13</v>
      </c>
      <c r="B32" s="25" t="s">
        <v>737</v>
      </c>
      <c r="C32" s="15" t="s">
        <v>738</v>
      </c>
      <c r="D32" s="15"/>
      <c r="E32" s="26" t="s">
        <v>173</v>
      </c>
      <c r="F32" s="33" t="s">
        <v>751</v>
      </c>
      <c r="G32" s="16"/>
      <c r="H32" s="9" t="s">
        <v>36</v>
      </c>
      <c r="I32" s="1"/>
    </row>
    <row r="33" spans="1:9" ht="14.5" x14ac:dyDescent="0.35">
      <c r="A33" s="6">
        <v>14</v>
      </c>
      <c r="B33" s="25" t="s">
        <v>739</v>
      </c>
      <c r="C33" s="15" t="s">
        <v>740</v>
      </c>
      <c r="D33" s="15"/>
      <c r="E33" s="26" t="s">
        <v>116</v>
      </c>
      <c r="F33" s="33" t="s">
        <v>752</v>
      </c>
      <c r="G33" s="16"/>
      <c r="H33" s="9" t="s">
        <v>37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E40">
    <cfRule type="expression" dxfId="35" priority="7" stopIfTrue="1">
      <formula>MOD(ROW(),2)=0</formula>
    </cfRule>
    <cfRule type="expression" dxfId="34" priority="8" stopIfTrue="1">
      <formula>MOD(ROW(),2)=1</formula>
    </cfRule>
  </conditionalFormatting>
  <conditionalFormatting sqref="C20">
    <cfRule type="expression" dxfId="33" priority="5" stopIfTrue="1">
      <formula>MOD(ROW(),2)=0</formula>
    </cfRule>
    <cfRule type="expression" dxfId="32" priority="6" stopIfTrue="1">
      <formula>MOD(ROW(),2)=1</formula>
    </cfRule>
  </conditionalFormatting>
  <conditionalFormatting sqref="F20:G40">
    <cfRule type="expression" dxfId="31" priority="1" stopIfTrue="1">
      <formula>MOD(ROW(),2)=0</formula>
    </cfRule>
    <cfRule type="expression" dxfId="3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"/>
  <dimension ref="A1:I44"/>
  <sheetViews>
    <sheetView showGridLines="0" topLeftCell="A20" zoomScaleNormal="100" workbookViewId="0">
      <selection activeCell="G16" sqref="G16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66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10346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4072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31">
        <f>600+468+550+445+714+664</f>
        <v>3441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31">
        <v>631</v>
      </c>
    </row>
    <row r="11" spans="1:9" ht="14.5" thickBot="1" x14ac:dyDescent="0.35">
      <c r="A11" s="5"/>
      <c r="B11" s="23" t="s">
        <v>10</v>
      </c>
      <c r="C11" s="23"/>
      <c r="D11" s="23"/>
      <c r="E11" s="23"/>
      <c r="F11" s="23"/>
      <c r="G11" s="36">
        <v>0.39300000000000002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8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9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17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753</v>
      </c>
      <c r="C20" s="12" t="s">
        <v>754</v>
      </c>
      <c r="D20" s="12"/>
      <c r="E20" s="26" t="s">
        <v>112</v>
      </c>
      <c r="F20" s="32" t="s">
        <v>782</v>
      </c>
      <c r="G20" s="13" t="s">
        <v>119</v>
      </c>
      <c r="H20" s="9" t="s">
        <v>24</v>
      </c>
      <c r="I20" s="1"/>
    </row>
    <row r="21" spans="1:9" ht="14.5" x14ac:dyDescent="0.35">
      <c r="A21" s="6">
        <v>2</v>
      </c>
      <c r="B21" s="25" t="s">
        <v>755</v>
      </c>
      <c r="C21" s="15" t="s">
        <v>756</v>
      </c>
      <c r="D21" s="15"/>
      <c r="E21" s="26" t="s">
        <v>174</v>
      </c>
      <c r="F21" s="33" t="s">
        <v>783</v>
      </c>
      <c r="G21" s="16"/>
      <c r="H21" s="9" t="s">
        <v>25</v>
      </c>
      <c r="I21" s="1"/>
    </row>
    <row r="22" spans="1:9" ht="14.5" x14ac:dyDescent="0.35">
      <c r="A22" s="6">
        <v>3</v>
      </c>
      <c r="B22" s="25" t="s">
        <v>757</v>
      </c>
      <c r="C22" s="15" t="s">
        <v>759</v>
      </c>
      <c r="D22" t="s">
        <v>111</v>
      </c>
      <c r="E22" s="26" t="s">
        <v>115</v>
      </c>
      <c r="F22" s="33" t="s">
        <v>784</v>
      </c>
      <c r="G22" s="16" t="s">
        <v>119</v>
      </c>
      <c r="H22" s="9" t="s">
        <v>26</v>
      </c>
      <c r="I22" s="1"/>
    </row>
    <row r="23" spans="1:9" ht="14.5" x14ac:dyDescent="0.35">
      <c r="A23" s="6">
        <v>4</v>
      </c>
      <c r="B23" s="25" t="s">
        <v>758</v>
      </c>
      <c r="C23" s="15" t="s">
        <v>760</v>
      </c>
      <c r="D23" s="15" t="s">
        <v>111</v>
      </c>
      <c r="E23" s="26" t="s">
        <v>116</v>
      </c>
      <c r="F23" s="33" t="s">
        <v>633</v>
      </c>
      <c r="G23" s="16"/>
      <c r="H23" s="9" t="s">
        <v>27</v>
      </c>
      <c r="I23" s="1"/>
    </row>
    <row r="24" spans="1:9" ht="14.5" x14ac:dyDescent="0.35">
      <c r="A24" s="6">
        <v>5</v>
      </c>
      <c r="B24" s="25" t="s">
        <v>761</v>
      </c>
      <c r="C24" s="15" t="s">
        <v>762</v>
      </c>
      <c r="D24" s="15"/>
      <c r="E24" s="26" t="s">
        <v>112</v>
      </c>
      <c r="F24" s="33" t="s">
        <v>285</v>
      </c>
      <c r="G24" s="16"/>
      <c r="H24" s="9" t="s">
        <v>28</v>
      </c>
      <c r="I24" s="1"/>
    </row>
    <row r="25" spans="1:9" ht="14.5" x14ac:dyDescent="0.35">
      <c r="A25" s="6">
        <v>6</v>
      </c>
      <c r="B25" s="25" t="s">
        <v>763</v>
      </c>
      <c r="C25" s="15" t="s">
        <v>764</v>
      </c>
      <c r="D25" s="15"/>
      <c r="E25" s="26" t="s">
        <v>174</v>
      </c>
      <c r="F25" s="33" t="s">
        <v>785</v>
      </c>
      <c r="G25" s="16"/>
      <c r="H25" s="9" t="s">
        <v>29</v>
      </c>
      <c r="I25" s="1"/>
    </row>
    <row r="26" spans="1:9" ht="14.5" x14ac:dyDescent="0.35">
      <c r="A26" s="6">
        <v>7</v>
      </c>
      <c r="B26" s="25" t="s">
        <v>765</v>
      </c>
      <c r="C26" s="15" t="s">
        <v>766</v>
      </c>
      <c r="D26" s="15"/>
      <c r="E26" s="26" t="s">
        <v>115</v>
      </c>
      <c r="F26" s="33" t="s">
        <v>786</v>
      </c>
      <c r="G26" s="16" t="s">
        <v>119</v>
      </c>
      <c r="H26" s="9" t="s">
        <v>30</v>
      </c>
      <c r="I26" s="1"/>
    </row>
    <row r="27" spans="1:9" ht="14.5" x14ac:dyDescent="0.35">
      <c r="A27" s="6">
        <v>8</v>
      </c>
      <c r="B27" s="25" t="s">
        <v>767</v>
      </c>
      <c r="C27" s="15" t="s">
        <v>154</v>
      </c>
      <c r="D27" s="15"/>
      <c r="E27" s="26" t="s">
        <v>116</v>
      </c>
      <c r="F27" s="33" t="s">
        <v>678</v>
      </c>
      <c r="G27" s="16"/>
      <c r="H27" s="9" t="s">
        <v>31</v>
      </c>
      <c r="I27" s="1"/>
    </row>
    <row r="28" spans="1:9" ht="14.5" x14ac:dyDescent="0.35">
      <c r="A28" s="6">
        <v>9</v>
      </c>
      <c r="B28" s="25" t="s">
        <v>768</v>
      </c>
      <c r="C28" s="15" t="s">
        <v>769</v>
      </c>
      <c r="D28" s="15"/>
      <c r="E28" s="26" t="s">
        <v>115</v>
      </c>
      <c r="F28" s="33" t="s">
        <v>787</v>
      </c>
      <c r="G28" s="16"/>
      <c r="H28" s="9" t="s">
        <v>32</v>
      </c>
      <c r="I28" s="1"/>
    </row>
    <row r="29" spans="1:9" ht="14.5" x14ac:dyDescent="0.35">
      <c r="A29" s="6">
        <v>10</v>
      </c>
      <c r="B29" s="25" t="s">
        <v>404</v>
      </c>
      <c r="C29" s="15" t="s">
        <v>770</v>
      </c>
      <c r="D29" s="15"/>
      <c r="E29" s="26" t="s">
        <v>189</v>
      </c>
      <c r="F29" s="33" t="s">
        <v>788</v>
      </c>
      <c r="G29" s="16"/>
      <c r="H29" s="9" t="s">
        <v>33</v>
      </c>
      <c r="I29" s="1"/>
    </row>
    <row r="30" spans="1:9" ht="14.5" x14ac:dyDescent="0.35">
      <c r="A30" s="6">
        <v>11</v>
      </c>
      <c r="B30" s="25" t="s">
        <v>586</v>
      </c>
      <c r="C30" s="15" t="s">
        <v>771</v>
      </c>
      <c r="D30" s="15"/>
      <c r="E30" s="26" t="s">
        <v>173</v>
      </c>
      <c r="F30" s="33" t="s">
        <v>530</v>
      </c>
      <c r="G30" s="16"/>
      <c r="H30" s="9" t="s">
        <v>34</v>
      </c>
      <c r="I30" s="1"/>
    </row>
    <row r="31" spans="1:9" ht="14.5" x14ac:dyDescent="0.35">
      <c r="A31" s="6">
        <v>12</v>
      </c>
      <c r="B31" s="25" t="s">
        <v>772</v>
      </c>
      <c r="C31" s="15" t="s">
        <v>773</v>
      </c>
      <c r="D31" s="15"/>
      <c r="E31" s="26" t="s">
        <v>173</v>
      </c>
      <c r="F31" s="33" t="s">
        <v>789</v>
      </c>
      <c r="G31" s="16"/>
      <c r="H31" s="9" t="s">
        <v>35</v>
      </c>
      <c r="I31" s="1"/>
    </row>
    <row r="32" spans="1:9" ht="14.5" x14ac:dyDescent="0.35">
      <c r="A32" s="6">
        <v>13</v>
      </c>
      <c r="B32" s="25" t="s">
        <v>774</v>
      </c>
      <c r="C32" s="15" t="s">
        <v>775</v>
      </c>
      <c r="D32" s="15"/>
      <c r="E32" s="26" t="s">
        <v>173</v>
      </c>
      <c r="F32" s="33" t="s">
        <v>790</v>
      </c>
      <c r="G32" s="16"/>
      <c r="H32" s="9" t="s">
        <v>36</v>
      </c>
      <c r="I32" s="1"/>
    </row>
    <row r="33" spans="1:9" ht="14.5" x14ac:dyDescent="0.35">
      <c r="A33" s="6">
        <v>14</v>
      </c>
      <c r="B33" s="25" t="s">
        <v>364</v>
      </c>
      <c r="C33" s="15" t="s">
        <v>776</v>
      </c>
      <c r="D33" s="15"/>
      <c r="E33" s="26" t="s">
        <v>189</v>
      </c>
      <c r="F33" s="33" t="s">
        <v>791</v>
      </c>
      <c r="G33" s="16"/>
      <c r="H33" s="9" t="s">
        <v>37</v>
      </c>
      <c r="I33" s="1"/>
    </row>
    <row r="34" spans="1:9" ht="14.5" x14ac:dyDescent="0.35">
      <c r="A34" s="6">
        <v>15</v>
      </c>
      <c r="B34" s="25" t="s">
        <v>777</v>
      </c>
      <c r="C34" s="15" t="s">
        <v>778</v>
      </c>
      <c r="D34" s="15"/>
      <c r="E34" s="26" t="s">
        <v>781</v>
      </c>
      <c r="F34" s="33" t="s">
        <v>792</v>
      </c>
      <c r="G34" s="16"/>
      <c r="H34" s="9" t="s">
        <v>38</v>
      </c>
      <c r="I34" s="1"/>
    </row>
    <row r="35" spans="1:9" ht="14.5" x14ac:dyDescent="0.35">
      <c r="A35" s="6">
        <v>16</v>
      </c>
      <c r="B35" s="25" t="s">
        <v>779</v>
      </c>
      <c r="C35" s="15" t="s">
        <v>780</v>
      </c>
      <c r="D35" s="15" t="s">
        <v>111</v>
      </c>
      <c r="E35" s="26" t="s">
        <v>112</v>
      </c>
      <c r="F35" s="33" t="s">
        <v>455</v>
      </c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E21 B22:C22 E22 B23:E40">
    <cfRule type="expression" dxfId="29" priority="7" stopIfTrue="1">
      <formula>MOD(ROW(),2)=0</formula>
    </cfRule>
    <cfRule type="expression" dxfId="28" priority="8" stopIfTrue="1">
      <formula>MOD(ROW(),2)=1</formula>
    </cfRule>
  </conditionalFormatting>
  <conditionalFormatting sqref="C20">
    <cfRule type="expression" dxfId="27" priority="5" stopIfTrue="1">
      <formula>MOD(ROW(),2)=0</formula>
    </cfRule>
    <cfRule type="expression" dxfId="26" priority="6" stopIfTrue="1">
      <formula>MOD(ROW(),2)=1</formula>
    </cfRule>
  </conditionalFormatting>
  <conditionalFormatting sqref="F20:G40">
    <cfRule type="expression" dxfId="25" priority="1" stopIfTrue="1">
      <formula>MOD(ROW(),2)=0</formula>
    </cfRule>
    <cfRule type="expression" dxfId="2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"/>
  <dimension ref="A1:I44"/>
  <sheetViews>
    <sheetView showGridLines="0" topLeftCell="A18" zoomScaleNormal="100" workbookViewId="0">
      <selection activeCell="G16" sqref="G16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67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8994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4467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31">
        <f>788+918+493+410+513+376</f>
        <v>3498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31">
        <v>969</v>
      </c>
    </row>
    <row r="11" spans="1:9" ht="14.5" thickBot="1" x14ac:dyDescent="0.35">
      <c r="A11" s="5"/>
      <c r="B11" s="23" t="s">
        <v>10</v>
      </c>
      <c r="C11" s="23"/>
      <c r="D11" s="23"/>
      <c r="E11" s="23"/>
      <c r="F11" s="23"/>
      <c r="G11" s="36">
        <v>0.496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4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10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4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793</v>
      </c>
      <c r="C20" s="12" t="s">
        <v>794</v>
      </c>
      <c r="D20" s="12"/>
      <c r="E20" s="26" t="s">
        <v>114</v>
      </c>
      <c r="F20" s="32" t="s">
        <v>682</v>
      </c>
      <c r="G20" s="13"/>
      <c r="H20" s="9" t="s">
        <v>24</v>
      </c>
      <c r="I20" s="1"/>
    </row>
    <row r="21" spans="1:9" ht="14.5" x14ac:dyDescent="0.35">
      <c r="A21" s="6">
        <v>2</v>
      </c>
      <c r="B21" s="25" t="s">
        <v>795</v>
      </c>
      <c r="C21" s="15" t="s">
        <v>796</v>
      </c>
      <c r="D21" s="15" t="s">
        <v>111</v>
      </c>
      <c r="E21" s="26" t="s">
        <v>115</v>
      </c>
      <c r="F21" s="33" t="s">
        <v>817</v>
      </c>
      <c r="G21" s="16" t="s">
        <v>119</v>
      </c>
      <c r="H21" s="9" t="s">
        <v>25</v>
      </c>
      <c r="I21" s="1"/>
    </row>
    <row r="22" spans="1:9" ht="14.5" x14ac:dyDescent="0.35">
      <c r="A22" s="6">
        <v>3</v>
      </c>
      <c r="B22" s="25" t="s">
        <v>797</v>
      </c>
      <c r="C22" s="15" t="s">
        <v>798</v>
      </c>
      <c r="D22" s="15"/>
      <c r="E22" s="26" t="s">
        <v>173</v>
      </c>
      <c r="F22" s="33" t="s">
        <v>818</v>
      </c>
      <c r="G22" s="16"/>
      <c r="H22" s="9" t="s">
        <v>26</v>
      </c>
      <c r="I22" s="1"/>
    </row>
    <row r="23" spans="1:9" ht="14.5" x14ac:dyDescent="0.35">
      <c r="A23" s="6">
        <v>4</v>
      </c>
      <c r="B23" s="25" t="s">
        <v>511</v>
      </c>
      <c r="C23" s="15" t="s">
        <v>799</v>
      </c>
      <c r="D23" s="15"/>
      <c r="E23" s="26" t="s">
        <v>116</v>
      </c>
      <c r="F23" s="33" t="s">
        <v>563</v>
      </c>
      <c r="G23" s="16"/>
      <c r="H23" s="9" t="s">
        <v>27</v>
      </c>
      <c r="I23" s="1"/>
    </row>
    <row r="24" spans="1:9" ht="14.5" x14ac:dyDescent="0.35">
      <c r="A24" s="6">
        <v>5</v>
      </c>
      <c r="B24" s="25" t="s">
        <v>651</v>
      </c>
      <c r="C24" s="15" t="s">
        <v>800</v>
      </c>
      <c r="D24" s="15"/>
      <c r="E24" s="26" t="s">
        <v>173</v>
      </c>
      <c r="F24" s="33" t="s">
        <v>819</v>
      </c>
      <c r="G24" s="16"/>
      <c r="H24" s="9" t="s">
        <v>28</v>
      </c>
      <c r="I24" s="1"/>
    </row>
    <row r="25" spans="1:9" ht="14.5" x14ac:dyDescent="0.35">
      <c r="A25" s="6">
        <v>6</v>
      </c>
      <c r="B25" s="25" t="s">
        <v>801</v>
      </c>
      <c r="C25" s="15" t="s">
        <v>802</v>
      </c>
      <c r="D25" s="15"/>
      <c r="E25" s="26" t="s">
        <v>174</v>
      </c>
      <c r="F25" s="33" t="s">
        <v>820</v>
      </c>
      <c r="G25" s="16" t="s">
        <v>119</v>
      </c>
      <c r="H25" s="9" t="s">
        <v>29</v>
      </c>
      <c r="I25" s="1"/>
    </row>
    <row r="26" spans="1:9" ht="14.5" x14ac:dyDescent="0.35">
      <c r="A26" s="6">
        <v>7</v>
      </c>
      <c r="B26" s="25" t="s">
        <v>803</v>
      </c>
      <c r="C26" s="15" t="s">
        <v>804</v>
      </c>
      <c r="D26" s="15"/>
      <c r="E26" s="26" t="s">
        <v>115</v>
      </c>
      <c r="F26" s="33" t="s">
        <v>821</v>
      </c>
      <c r="G26" s="16"/>
      <c r="H26" s="9" t="s">
        <v>30</v>
      </c>
      <c r="I26" s="1"/>
    </row>
    <row r="27" spans="1:9" ht="14.5" x14ac:dyDescent="0.35">
      <c r="A27" s="6">
        <v>8</v>
      </c>
      <c r="B27" s="25" t="s">
        <v>805</v>
      </c>
      <c r="C27" s="15" t="s">
        <v>816</v>
      </c>
      <c r="D27" s="15"/>
      <c r="E27" s="26" t="s">
        <v>174</v>
      </c>
      <c r="F27" s="33" t="s">
        <v>822</v>
      </c>
      <c r="G27" s="16"/>
      <c r="H27" s="9" t="s">
        <v>31</v>
      </c>
      <c r="I27" s="1"/>
    </row>
    <row r="28" spans="1:9" ht="14.5" x14ac:dyDescent="0.35">
      <c r="A28" s="6">
        <v>9</v>
      </c>
      <c r="B28" s="25" t="s">
        <v>806</v>
      </c>
      <c r="C28" s="38" t="s">
        <v>807</v>
      </c>
      <c r="D28" s="15"/>
      <c r="E28" s="26" t="s">
        <v>115</v>
      </c>
      <c r="F28" s="33" t="s">
        <v>823</v>
      </c>
      <c r="G28" s="16"/>
      <c r="H28" s="9" t="s">
        <v>32</v>
      </c>
      <c r="I28" s="1"/>
    </row>
    <row r="29" spans="1:9" ht="14.5" x14ac:dyDescent="0.35">
      <c r="A29" s="6">
        <v>10</v>
      </c>
      <c r="B29" s="25" t="s">
        <v>808</v>
      </c>
      <c r="C29" s="15" t="s">
        <v>809</v>
      </c>
      <c r="D29" s="15" t="s">
        <v>111</v>
      </c>
      <c r="E29" s="26" t="s">
        <v>173</v>
      </c>
      <c r="F29" s="33" t="s">
        <v>448</v>
      </c>
      <c r="G29" s="16"/>
      <c r="H29" s="9" t="s">
        <v>33</v>
      </c>
      <c r="I29" s="1"/>
    </row>
    <row r="30" spans="1:9" ht="14.5" x14ac:dyDescent="0.35">
      <c r="A30" s="6">
        <v>11</v>
      </c>
      <c r="B30" s="25" t="s">
        <v>586</v>
      </c>
      <c r="C30" s="15" t="s">
        <v>810</v>
      </c>
      <c r="D30" s="15" t="s">
        <v>111</v>
      </c>
      <c r="E30" s="26" t="s">
        <v>174</v>
      </c>
      <c r="F30" s="33" t="s">
        <v>824</v>
      </c>
      <c r="G30" s="16" t="s">
        <v>119</v>
      </c>
      <c r="H30" s="9" t="s">
        <v>34</v>
      </c>
      <c r="I30" s="1"/>
    </row>
    <row r="31" spans="1:9" ht="14.5" x14ac:dyDescent="0.35">
      <c r="A31" s="6">
        <v>12</v>
      </c>
      <c r="B31" s="25" t="s">
        <v>811</v>
      </c>
      <c r="C31" s="15" t="s">
        <v>812</v>
      </c>
      <c r="D31" s="15"/>
      <c r="E31" s="26" t="s">
        <v>116</v>
      </c>
      <c r="F31" s="33" t="s">
        <v>825</v>
      </c>
      <c r="G31" s="16"/>
      <c r="H31" s="9" t="s">
        <v>35</v>
      </c>
      <c r="I31" s="1"/>
    </row>
    <row r="32" spans="1:9" ht="14.5" x14ac:dyDescent="0.35">
      <c r="A32" s="6">
        <v>13</v>
      </c>
      <c r="B32" s="25" t="s">
        <v>813</v>
      </c>
      <c r="C32" s="15" t="s">
        <v>814</v>
      </c>
      <c r="D32" s="15"/>
      <c r="E32" s="26" t="s">
        <v>114</v>
      </c>
      <c r="F32" s="33" t="s">
        <v>826</v>
      </c>
      <c r="G32" s="16"/>
      <c r="H32" s="9" t="s">
        <v>36</v>
      </c>
      <c r="I32" s="1"/>
    </row>
    <row r="33" spans="1:9" ht="14.5" x14ac:dyDescent="0.35">
      <c r="A33" s="6">
        <v>14</v>
      </c>
      <c r="B33" s="25" t="s">
        <v>815</v>
      </c>
      <c r="C33" s="15" t="s">
        <v>799</v>
      </c>
      <c r="D33" s="15"/>
      <c r="E33" s="26" t="s">
        <v>116</v>
      </c>
      <c r="F33" s="33" t="s">
        <v>827</v>
      </c>
      <c r="G33" s="16"/>
      <c r="H33" s="9" t="s">
        <v>37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E40">
    <cfRule type="expression" dxfId="23" priority="7" stopIfTrue="1">
      <formula>MOD(ROW(),2)=0</formula>
    </cfRule>
    <cfRule type="expression" dxfId="22" priority="8" stopIfTrue="1">
      <formula>MOD(ROW(),2)=1</formula>
    </cfRule>
  </conditionalFormatting>
  <conditionalFormatting sqref="C20">
    <cfRule type="expression" dxfId="21" priority="5" stopIfTrue="1">
      <formula>MOD(ROW(),2)=0</formula>
    </cfRule>
    <cfRule type="expression" dxfId="20" priority="6" stopIfTrue="1">
      <formula>MOD(ROW(),2)=1</formula>
    </cfRule>
  </conditionalFormatting>
  <conditionalFormatting sqref="F20:G40">
    <cfRule type="expression" dxfId="19" priority="1" stopIfTrue="1">
      <formula>MOD(ROW(),2)=0</formula>
    </cfRule>
    <cfRule type="expression" dxfId="1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/>
  <dimension ref="A1:I44"/>
  <sheetViews>
    <sheetView showGridLines="0" topLeftCell="A18" zoomScaleNormal="100" workbookViewId="0">
      <selection activeCell="H24" sqref="H24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23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68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10733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4179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31">
        <f>1188+459+874+203+747</f>
        <v>3471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31">
        <v>708</v>
      </c>
    </row>
    <row r="11" spans="1:9" ht="14.5" thickBot="1" x14ac:dyDescent="0.35">
      <c r="A11" s="5"/>
      <c r="B11" s="23" t="s">
        <v>10</v>
      </c>
      <c r="C11" s="23"/>
      <c r="D11" s="23"/>
      <c r="E11" s="23"/>
      <c r="F11" s="23"/>
      <c r="G11" s="36">
        <v>0.38900000000000001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11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1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6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9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462</v>
      </c>
      <c r="C20" s="12" t="s">
        <v>828</v>
      </c>
      <c r="D20" s="12"/>
      <c r="E20" s="26" t="s">
        <v>174</v>
      </c>
      <c r="F20" s="32" t="s">
        <v>856</v>
      </c>
      <c r="G20" s="13"/>
      <c r="H20" s="9" t="s">
        <v>24</v>
      </c>
      <c r="I20" s="1"/>
    </row>
    <row r="21" spans="1:9" ht="14.5" x14ac:dyDescent="0.35">
      <c r="A21" s="6">
        <v>2</v>
      </c>
      <c r="B21" s="25" t="s">
        <v>829</v>
      </c>
      <c r="C21" s="15" t="s">
        <v>830</v>
      </c>
      <c r="D21" s="15"/>
      <c r="E21" s="26" t="s">
        <v>114</v>
      </c>
      <c r="F21" s="33" t="s">
        <v>857</v>
      </c>
      <c r="G21" s="16"/>
      <c r="H21" s="9" t="s">
        <v>25</v>
      </c>
      <c r="I21" s="1"/>
    </row>
    <row r="22" spans="1:9" ht="14.5" x14ac:dyDescent="0.35">
      <c r="A22" s="6">
        <v>3</v>
      </c>
      <c r="B22" s="25" t="s">
        <v>831</v>
      </c>
      <c r="C22" s="15" t="s">
        <v>832</v>
      </c>
      <c r="D22" s="15" t="s">
        <v>111</v>
      </c>
      <c r="E22" s="26" t="s">
        <v>113</v>
      </c>
      <c r="F22" s="33" t="s">
        <v>858</v>
      </c>
      <c r="G22" s="16"/>
      <c r="H22" s="9" t="s">
        <v>26</v>
      </c>
      <c r="I22" s="1"/>
    </row>
    <row r="23" spans="1:9" ht="14.5" x14ac:dyDescent="0.35">
      <c r="A23" s="6">
        <v>4</v>
      </c>
      <c r="B23" s="25" t="s">
        <v>833</v>
      </c>
      <c r="C23" s="15" t="s">
        <v>834</v>
      </c>
      <c r="D23" s="15"/>
      <c r="E23" s="26" t="s">
        <v>116</v>
      </c>
      <c r="F23" s="33" t="s">
        <v>859</v>
      </c>
      <c r="G23" s="16"/>
      <c r="H23" s="9" t="s">
        <v>27</v>
      </c>
      <c r="I23" s="1"/>
    </row>
    <row r="24" spans="1:9" ht="14.5" x14ac:dyDescent="0.35">
      <c r="A24" s="6">
        <v>5</v>
      </c>
      <c r="B24" s="25" t="s">
        <v>835</v>
      </c>
      <c r="C24" s="15" t="s">
        <v>836</v>
      </c>
      <c r="D24" s="15"/>
      <c r="E24" s="26" t="s">
        <v>116</v>
      </c>
      <c r="F24" s="33" t="s">
        <v>860</v>
      </c>
      <c r="G24" s="16"/>
      <c r="H24" s="9" t="s">
        <v>28</v>
      </c>
      <c r="I24" s="1"/>
    </row>
    <row r="25" spans="1:9" ht="14.5" x14ac:dyDescent="0.35">
      <c r="A25" s="6">
        <v>6</v>
      </c>
      <c r="B25" s="25" t="s">
        <v>837</v>
      </c>
      <c r="C25" s="15" t="s">
        <v>275</v>
      </c>
      <c r="D25" s="15"/>
      <c r="E25" s="26" t="s">
        <v>115</v>
      </c>
      <c r="F25" s="33" t="s">
        <v>861</v>
      </c>
      <c r="G25" s="16" t="s">
        <v>119</v>
      </c>
      <c r="H25" s="9" t="s">
        <v>29</v>
      </c>
      <c r="I25" s="1"/>
    </row>
    <row r="26" spans="1:9" ht="14.5" x14ac:dyDescent="0.35">
      <c r="A26" s="6">
        <v>7</v>
      </c>
      <c r="B26" s="25" t="s">
        <v>761</v>
      </c>
      <c r="C26" s="15" t="s">
        <v>838</v>
      </c>
      <c r="D26" s="15" t="s">
        <v>111</v>
      </c>
      <c r="E26" s="26" t="s">
        <v>112</v>
      </c>
      <c r="F26" s="33" t="s">
        <v>862</v>
      </c>
      <c r="G26" s="16" t="s">
        <v>119</v>
      </c>
      <c r="H26" s="9" t="s">
        <v>30</v>
      </c>
      <c r="I26" s="1"/>
    </row>
    <row r="27" spans="1:9" ht="14.5" x14ac:dyDescent="0.35">
      <c r="A27" s="6">
        <v>8</v>
      </c>
      <c r="B27" s="25" t="s">
        <v>839</v>
      </c>
      <c r="C27" s="15" t="s">
        <v>840</v>
      </c>
      <c r="D27" s="15"/>
      <c r="E27" s="26" t="s">
        <v>115</v>
      </c>
      <c r="F27" s="33" t="s">
        <v>863</v>
      </c>
      <c r="G27" s="16"/>
      <c r="H27" s="9" t="s">
        <v>31</v>
      </c>
      <c r="I27" s="1"/>
    </row>
    <row r="28" spans="1:9" ht="14.5" x14ac:dyDescent="0.35">
      <c r="A28" s="6">
        <v>9</v>
      </c>
      <c r="B28" s="25" t="s">
        <v>849</v>
      </c>
      <c r="C28" s="15" t="s">
        <v>841</v>
      </c>
      <c r="D28" s="15"/>
      <c r="E28" s="26" t="s">
        <v>115</v>
      </c>
      <c r="F28" s="33" t="s">
        <v>864</v>
      </c>
      <c r="G28" s="16"/>
      <c r="H28" s="9" t="s">
        <v>32</v>
      </c>
      <c r="I28" s="1"/>
    </row>
    <row r="29" spans="1:9" ht="14.5" x14ac:dyDescent="0.35">
      <c r="A29" s="6">
        <v>10</v>
      </c>
      <c r="B29" s="25" t="s">
        <v>850</v>
      </c>
      <c r="C29" s="15" t="s">
        <v>842</v>
      </c>
      <c r="D29" s="15"/>
      <c r="E29" s="26" t="s">
        <v>112</v>
      </c>
      <c r="F29" s="33" t="s">
        <v>865</v>
      </c>
      <c r="G29" s="16" t="s">
        <v>119</v>
      </c>
      <c r="H29" s="9" t="s">
        <v>33</v>
      </c>
      <c r="I29" s="1"/>
    </row>
    <row r="30" spans="1:9" ht="14.5" x14ac:dyDescent="0.35">
      <c r="A30" s="6">
        <v>11</v>
      </c>
      <c r="B30" s="25" t="s">
        <v>851</v>
      </c>
      <c r="C30" s="15" t="s">
        <v>843</v>
      </c>
      <c r="D30" s="15"/>
      <c r="E30" s="26" t="s">
        <v>112</v>
      </c>
      <c r="F30" s="33" t="s">
        <v>866</v>
      </c>
      <c r="G30" s="16"/>
      <c r="H30" s="9" t="s">
        <v>34</v>
      </c>
      <c r="I30" s="1"/>
    </row>
    <row r="31" spans="1:9" ht="14.5" x14ac:dyDescent="0.35">
      <c r="A31" s="6">
        <v>12</v>
      </c>
      <c r="B31" s="25" t="s">
        <v>852</v>
      </c>
      <c r="C31" s="15" t="s">
        <v>844</v>
      </c>
      <c r="D31" s="15"/>
      <c r="E31" s="26" t="s">
        <v>113</v>
      </c>
      <c r="F31" s="33" t="s">
        <v>867</v>
      </c>
      <c r="G31" s="16"/>
      <c r="H31" s="9" t="s">
        <v>35</v>
      </c>
      <c r="I31" s="1"/>
    </row>
    <row r="32" spans="1:9" ht="14.5" x14ac:dyDescent="0.35">
      <c r="A32" s="6">
        <v>13</v>
      </c>
      <c r="B32" s="25" t="s">
        <v>853</v>
      </c>
      <c r="C32" s="15" t="s">
        <v>845</v>
      </c>
      <c r="D32" s="15"/>
      <c r="E32" s="26" t="s">
        <v>174</v>
      </c>
      <c r="F32" s="33" t="s">
        <v>868</v>
      </c>
      <c r="G32" s="16"/>
      <c r="H32" s="9" t="s">
        <v>36</v>
      </c>
      <c r="I32" s="1"/>
    </row>
    <row r="33" spans="1:9" ht="14.5" x14ac:dyDescent="0.35">
      <c r="A33" s="6">
        <v>14</v>
      </c>
      <c r="B33" s="25" t="s">
        <v>854</v>
      </c>
      <c r="C33" s="15" t="s">
        <v>846</v>
      </c>
      <c r="D33" s="15"/>
      <c r="E33" s="26" t="s">
        <v>116</v>
      </c>
      <c r="F33" s="33" t="s">
        <v>641</v>
      </c>
      <c r="G33" s="16"/>
      <c r="H33" s="9" t="s">
        <v>37</v>
      </c>
      <c r="I33" s="1"/>
    </row>
    <row r="34" spans="1:9" ht="14.5" x14ac:dyDescent="0.35">
      <c r="A34" s="6">
        <v>15</v>
      </c>
      <c r="B34" s="25" t="s">
        <v>855</v>
      </c>
      <c r="C34" s="15" t="s">
        <v>847</v>
      </c>
      <c r="D34" s="15"/>
      <c r="E34" s="26" t="s">
        <v>118</v>
      </c>
      <c r="F34" s="33" t="s">
        <v>869</v>
      </c>
      <c r="G34" s="16"/>
      <c r="H34" s="9" t="s">
        <v>38</v>
      </c>
      <c r="I34" s="1"/>
    </row>
    <row r="35" spans="1:9" ht="14.5" x14ac:dyDescent="0.35">
      <c r="A35" s="6">
        <v>16</v>
      </c>
      <c r="B35" s="25" t="s">
        <v>322</v>
      </c>
      <c r="C35" s="15" t="s">
        <v>848</v>
      </c>
      <c r="D35" s="15"/>
      <c r="E35" s="26" t="s">
        <v>113</v>
      </c>
      <c r="F35" s="33" t="s">
        <v>629</v>
      </c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D35 B36:E40">
    <cfRule type="expression" dxfId="17" priority="7" stopIfTrue="1">
      <formula>MOD(ROW(),2)=0</formula>
    </cfRule>
    <cfRule type="expression" dxfId="16" priority="8" stopIfTrue="1">
      <formula>MOD(ROW(),2)=1</formula>
    </cfRule>
  </conditionalFormatting>
  <conditionalFormatting sqref="C20">
    <cfRule type="expression" dxfId="15" priority="5" stopIfTrue="1">
      <formula>MOD(ROW(),2)=0</formula>
    </cfRule>
    <cfRule type="expression" dxfId="14" priority="6" stopIfTrue="1">
      <formula>MOD(ROW(),2)=1</formula>
    </cfRule>
  </conditionalFormatting>
  <conditionalFormatting sqref="F20:G40">
    <cfRule type="expression" dxfId="13" priority="1" stopIfTrue="1">
      <formula>MOD(ROW(),2)=0</formula>
    </cfRule>
    <cfRule type="expression" dxfId="1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"/>
  <dimension ref="A1:I44"/>
  <sheetViews>
    <sheetView showGridLines="0" topLeftCell="A16" zoomScaleNormal="100" workbookViewId="0">
      <selection activeCell="H30" sqref="H3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69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61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6021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3195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31">
        <f>824+1794</f>
        <v>2618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31">
        <v>577</v>
      </c>
    </row>
    <row r="11" spans="1:9" ht="14.5" thickBot="1" x14ac:dyDescent="0.35">
      <c r="A11" s="5"/>
      <c r="B11" s="23" t="s">
        <v>10</v>
      </c>
      <c r="C11" s="23"/>
      <c r="D11" s="23"/>
      <c r="E11" s="23"/>
      <c r="F11" s="23"/>
      <c r="G11" s="39">
        <v>0.53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12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12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2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870</v>
      </c>
      <c r="C20" s="12" t="s">
        <v>871</v>
      </c>
      <c r="D20" s="12"/>
      <c r="E20" s="26" t="s">
        <v>174</v>
      </c>
      <c r="F20" s="13" t="s">
        <v>889</v>
      </c>
      <c r="G20" s="13"/>
      <c r="H20" s="9" t="s">
        <v>24</v>
      </c>
      <c r="I20" s="1"/>
    </row>
    <row r="21" spans="1:9" ht="14.5" x14ac:dyDescent="0.35">
      <c r="A21" s="6">
        <v>2</v>
      </c>
      <c r="B21" s="25" t="s">
        <v>872</v>
      </c>
      <c r="C21" s="15" t="s">
        <v>830</v>
      </c>
      <c r="D21" s="15"/>
      <c r="E21" s="26" t="s">
        <v>114</v>
      </c>
      <c r="F21" s="16" t="s">
        <v>891</v>
      </c>
      <c r="G21" s="16"/>
      <c r="H21" s="9" t="s">
        <v>25</v>
      </c>
      <c r="I21" s="1"/>
    </row>
    <row r="22" spans="1:9" ht="14.5" x14ac:dyDescent="0.35">
      <c r="A22" s="6">
        <v>3</v>
      </c>
      <c r="B22" s="25" t="s">
        <v>873</v>
      </c>
      <c r="C22" s="15" t="s">
        <v>874</v>
      </c>
      <c r="D22" s="15"/>
      <c r="E22" s="26" t="s">
        <v>116</v>
      </c>
      <c r="F22" s="16" t="s">
        <v>890</v>
      </c>
      <c r="G22" s="16"/>
      <c r="H22" s="9" t="s">
        <v>26</v>
      </c>
      <c r="I22" s="1"/>
    </row>
    <row r="23" spans="1:9" ht="14.5" x14ac:dyDescent="0.35">
      <c r="A23" s="6">
        <v>4</v>
      </c>
      <c r="B23" s="25" t="s">
        <v>875</v>
      </c>
      <c r="C23" s="15" t="s">
        <v>876</v>
      </c>
      <c r="D23" s="15"/>
      <c r="E23" s="26" t="s">
        <v>115</v>
      </c>
      <c r="F23" s="16" t="s">
        <v>892</v>
      </c>
      <c r="G23" s="16"/>
      <c r="H23" s="9" t="s">
        <v>27</v>
      </c>
      <c r="I23" s="1"/>
    </row>
    <row r="24" spans="1:9" ht="14.5" x14ac:dyDescent="0.35">
      <c r="A24" s="6">
        <v>5</v>
      </c>
      <c r="B24" s="25" t="s">
        <v>877</v>
      </c>
      <c r="C24" s="15" t="s">
        <v>878</v>
      </c>
      <c r="D24" s="15" t="s">
        <v>111</v>
      </c>
      <c r="E24" s="26" t="s">
        <v>116</v>
      </c>
      <c r="F24" s="16" t="s">
        <v>893</v>
      </c>
      <c r="G24" s="16"/>
      <c r="H24" s="9" t="s">
        <v>28</v>
      </c>
      <c r="I24" s="1"/>
    </row>
    <row r="25" spans="1:9" ht="14.5" x14ac:dyDescent="0.35">
      <c r="A25" s="6">
        <v>6</v>
      </c>
      <c r="B25" s="25" t="s">
        <v>879</v>
      </c>
      <c r="C25" s="15" t="s">
        <v>880</v>
      </c>
      <c r="D25" s="15"/>
      <c r="E25" s="26" t="s">
        <v>174</v>
      </c>
      <c r="F25" s="16" t="s">
        <v>784</v>
      </c>
      <c r="G25" s="16" t="s">
        <v>119</v>
      </c>
      <c r="H25" s="9" t="s">
        <v>29</v>
      </c>
      <c r="I25" s="1"/>
    </row>
    <row r="26" spans="1:9" ht="14.5" x14ac:dyDescent="0.35">
      <c r="A26" s="6">
        <v>7</v>
      </c>
      <c r="B26" s="25" t="s">
        <v>881</v>
      </c>
      <c r="C26" s="15" t="s">
        <v>882</v>
      </c>
      <c r="D26" s="15" t="s">
        <v>111</v>
      </c>
      <c r="E26" s="26" t="s">
        <v>115</v>
      </c>
      <c r="F26" s="16" t="s">
        <v>894</v>
      </c>
      <c r="G26" s="16" t="s">
        <v>119</v>
      </c>
      <c r="H26" s="9" t="s">
        <v>30</v>
      </c>
      <c r="I26" s="1"/>
    </row>
    <row r="27" spans="1:9" ht="14.5" x14ac:dyDescent="0.35">
      <c r="A27" s="6">
        <v>8</v>
      </c>
      <c r="B27" s="25" t="s">
        <v>883</v>
      </c>
      <c r="C27" s="15" t="s">
        <v>884</v>
      </c>
      <c r="D27" s="15"/>
      <c r="E27" s="26" t="s">
        <v>173</v>
      </c>
      <c r="F27" s="16" t="s">
        <v>895</v>
      </c>
      <c r="G27" s="16"/>
      <c r="H27" s="9" t="s">
        <v>31</v>
      </c>
      <c r="I27" s="1"/>
    </row>
    <row r="28" spans="1:9" ht="14.5" x14ac:dyDescent="0.35">
      <c r="A28" s="6">
        <v>9</v>
      </c>
      <c r="B28" s="25" t="s">
        <v>885</v>
      </c>
      <c r="C28" s="15" t="s">
        <v>886</v>
      </c>
      <c r="D28" s="15"/>
      <c r="E28" s="26" t="s">
        <v>173</v>
      </c>
      <c r="F28" s="16" t="s">
        <v>682</v>
      </c>
      <c r="G28" s="16"/>
      <c r="H28" s="9" t="s">
        <v>32</v>
      </c>
      <c r="I28" s="1"/>
    </row>
    <row r="29" spans="1:9" ht="14.5" x14ac:dyDescent="0.35">
      <c r="A29" s="6">
        <v>10</v>
      </c>
      <c r="B29" s="25" t="s">
        <v>887</v>
      </c>
      <c r="C29" s="15" t="s">
        <v>888</v>
      </c>
      <c r="D29" s="15"/>
      <c r="E29" s="26" t="s">
        <v>114</v>
      </c>
      <c r="F29" s="16" t="s">
        <v>896</v>
      </c>
      <c r="G29" s="16"/>
      <c r="H29" s="9" t="s">
        <v>33</v>
      </c>
      <c r="I29" s="1"/>
    </row>
    <row r="30" spans="1:9" ht="14" x14ac:dyDescent="0.3">
      <c r="A30" s="6">
        <v>11</v>
      </c>
      <c r="B30" s="14"/>
      <c r="C30" s="15"/>
      <c r="D30" s="15"/>
      <c r="E30" s="16"/>
      <c r="F30" s="16"/>
      <c r="G30" s="16"/>
      <c r="H30" s="9" t="s">
        <v>34</v>
      </c>
      <c r="I30" s="1"/>
    </row>
    <row r="31" spans="1:9" ht="14" x14ac:dyDescent="0.3">
      <c r="A31" s="6">
        <v>12</v>
      </c>
      <c r="B31" s="14"/>
      <c r="C31" s="15"/>
      <c r="D31" s="15"/>
      <c r="E31" s="16"/>
      <c r="F31" s="16"/>
      <c r="G31" s="16"/>
      <c r="H31" s="9" t="s">
        <v>35</v>
      </c>
      <c r="I31" s="1"/>
    </row>
    <row r="32" spans="1:9" ht="14" x14ac:dyDescent="0.3">
      <c r="A32" s="6">
        <v>13</v>
      </c>
      <c r="B32" s="14"/>
      <c r="C32" s="15"/>
      <c r="D32" s="15"/>
      <c r="E32" s="16"/>
      <c r="F32" s="16"/>
      <c r="G32" s="16"/>
      <c r="H32" s="9" t="s">
        <v>36</v>
      </c>
      <c r="I32" s="1"/>
    </row>
    <row r="33" spans="1:9" ht="14" x14ac:dyDescent="0.3">
      <c r="A33" s="6">
        <v>14</v>
      </c>
      <c r="B33" s="14"/>
      <c r="C33" s="15"/>
      <c r="D33" s="15"/>
      <c r="E33" s="16"/>
      <c r="F33" s="16"/>
      <c r="G33" s="16"/>
      <c r="H33" s="9" t="s">
        <v>37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E40">
    <cfRule type="expression" dxfId="11" priority="7" stopIfTrue="1">
      <formula>MOD(ROW(),2)=0</formula>
    </cfRule>
    <cfRule type="expression" dxfId="10" priority="8" stopIfTrue="1">
      <formula>MOD(ROW(),2)=1</formula>
    </cfRule>
  </conditionalFormatting>
  <conditionalFormatting sqref="C20">
    <cfRule type="expression" dxfId="9" priority="5" stopIfTrue="1">
      <formula>MOD(ROW(),2)=0</formula>
    </cfRule>
    <cfRule type="expression" dxfId="8" priority="6" stopIfTrue="1">
      <formula>MOD(ROW(),2)=1</formula>
    </cfRule>
  </conditionalFormatting>
  <conditionalFormatting sqref="F20:G40">
    <cfRule type="expression" dxfId="7" priority="1" stopIfTrue="1">
      <formula>MOD(ROW(),2)=0</formula>
    </cfRule>
    <cfRule type="expression" dxfId="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I44"/>
  <sheetViews>
    <sheetView showGridLines="0" tabSelected="1" topLeftCell="A19" zoomScaleNormal="100" workbookViewId="0">
      <selection activeCell="G28" sqref="G28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3"/>
      <c r="C4" s="23"/>
      <c r="D4" s="23"/>
      <c r="E4" s="23"/>
      <c r="F4" s="23"/>
      <c r="G4" s="17" t="s">
        <v>46</v>
      </c>
    </row>
    <row r="5" spans="1:9" ht="14" x14ac:dyDescent="0.3">
      <c r="A5" s="5" t="s">
        <v>3</v>
      </c>
      <c r="B5" s="23"/>
      <c r="C5" s="23"/>
      <c r="D5" s="23"/>
      <c r="E5" s="23"/>
      <c r="F5" s="23"/>
      <c r="G5" s="18" t="s">
        <v>70</v>
      </c>
      <c r="I5" s="9" t="s">
        <v>4</v>
      </c>
    </row>
    <row r="6" spans="1:9" ht="14" x14ac:dyDescent="0.3">
      <c r="A6" s="5" t="s">
        <v>5</v>
      </c>
      <c r="B6" s="23"/>
      <c r="C6" s="23"/>
      <c r="D6" s="23"/>
      <c r="E6" s="23"/>
      <c r="F6" s="23"/>
      <c r="G6" s="18" t="s">
        <v>48</v>
      </c>
    </row>
    <row r="7" spans="1:9" ht="14" x14ac:dyDescent="0.3">
      <c r="A7" s="5" t="s">
        <v>6</v>
      </c>
      <c r="B7" s="23"/>
      <c r="C7" s="23"/>
      <c r="D7" s="23"/>
      <c r="E7" s="23"/>
      <c r="F7" s="23"/>
      <c r="G7" s="18">
        <v>9460</v>
      </c>
    </row>
    <row r="8" spans="1:9" ht="14" x14ac:dyDescent="0.3">
      <c r="A8" s="5" t="s">
        <v>7</v>
      </c>
      <c r="B8" s="23"/>
      <c r="C8" s="23"/>
      <c r="D8" s="23"/>
      <c r="E8" s="23"/>
      <c r="F8" s="23"/>
      <c r="G8" s="20">
        <v>4832</v>
      </c>
    </row>
    <row r="9" spans="1:9" ht="14" x14ac:dyDescent="0.3">
      <c r="A9" s="5"/>
      <c r="B9" s="23" t="s">
        <v>8</v>
      </c>
      <c r="C9" s="23"/>
      <c r="D9" s="23"/>
      <c r="E9" s="23"/>
      <c r="F9" s="23"/>
      <c r="G9" s="31">
        <f>645+778+1266+1182</f>
        <v>3871</v>
      </c>
    </row>
    <row r="10" spans="1:9" ht="14" x14ac:dyDescent="0.3">
      <c r="A10" s="5"/>
      <c r="B10" s="23" t="s">
        <v>9</v>
      </c>
      <c r="C10" s="23"/>
      <c r="D10" s="23"/>
      <c r="E10" s="23"/>
      <c r="F10" s="23"/>
      <c r="G10" s="31">
        <v>961</v>
      </c>
    </row>
    <row r="11" spans="1:9" ht="14.5" thickBot="1" x14ac:dyDescent="0.35">
      <c r="A11" s="5"/>
      <c r="B11" s="23" t="s">
        <v>10</v>
      </c>
      <c r="C11" s="23"/>
      <c r="D11" s="23"/>
      <c r="E11" s="23"/>
      <c r="F11" s="23"/>
      <c r="G11" s="39">
        <v>0.51</v>
      </c>
    </row>
    <row r="12" spans="1:9" ht="14" x14ac:dyDescent="0.3">
      <c r="A12" s="5" t="s">
        <v>11</v>
      </c>
      <c r="B12" s="23"/>
      <c r="C12" s="23"/>
      <c r="D12" s="23"/>
      <c r="E12" s="23"/>
      <c r="F12" s="23"/>
      <c r="G12" s="20"/>
    </row>
    <row r="13" spans="1:9" ht="14" x14ac:dyDescent="0.3">
      <c r="A13" s="5"/>
      <c r="B13" s="23" t="s">
        <v>12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13</v>
      </c>
      <c r="C14" s="23"/>
      <c r="D14" s="23"/>
      <c r="E14" s="23"/>
      <c r="F14" s="23"/>
      <c r="G14" s="20">
        <v>9</v>
      </c>
    </row>
    <row r="15" spans="1:9" ht="14" x14ac:dyDescent="0.3">
      <c r="A15" s="5"/>
      <c r="B15" s="23" t="s">
        <v>14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15</v>
      </c>
      <c r="C16" s="23"/>
      <c r="D16" s="23"/>
      <c r="E16" s="23"/>
      <c r="F16" s="23"/>
      <c r="G16" s="20">
        <v>15</v>
      </c>
    </row>
    <row r="17" spans="1:9" ht="14" x14ac:dyDescent="0.3">
      <c r="A17" s="5" t="s">
        <v>16</v>
      </c>
      <c r="B17" s="23"/>
      <c r="C17" s="23"/>
      <c r="D17" s="23"/>
      <c r="E17" s="23"/>
      <c r="F17" s="23"/>
      <c r="G17" s="20">
        <v>7</v>
      </c>
    </row>
    <row r="18" spans="1:9" ht="15" customHeight="1" x14ac:dyDescent="0.3">
      <c r="B18" s="11" t="s">
        <v>17</v>
      </c>
    </row>
    <row r="19" spans="1:9" ht="28.5" customHeight="1" x14ac:dyDescent="0.3">
      <c r="A19" s="7"/>
      <c r="B19" s="21" t="s">
        <v>18</v>
      </c>
      <c r="C19" s="21" t="s">
        <v>19</v>
      </c>
      <c r="D19" s="21" t="s">
        <v>20</v>
      </c>
      <c r="E19" s="21" t="s">
        <v>21</v>
      </c>
      <c r="F19" s="24" t="s">
        <v>22</v>
      </c>
      <c r="G19" s="22" t="s">
        <v>23</v>
      </c>
      <c r="H19" s="10"/>
    </row>
    <row r="20" spans="1:9" ht="14.5" x14ac:dyDescent="0.35">
      <c r="A20" s="6">
        <v>1</v>
      </c>
      <c r="B20" s="25" t="s">
        <v>344</v>
      </c>
      <c r="C20" s="12" t="s">
        <v>897</v>
      </c>
      <c r="D20" s="12"/>
      <c r="E20" s="26" t="s">
        <v>174</v>
      </c>
      <c r="F20" s="13" t="s">
        <v>679</v>
      </c>
      <c r="G20" s="13"/>
      <c r="H20" s="9" t="s">
        <v>24</v>
      </c>
      <c r="I20" s="1"/>
    </row>
    <row r="21" spans="1:9" ht="14.5" x14ac:dyDescent="0.35">
      <c r="A21" s="6">
        <v>2</v>
      </c>
      <c r="B21" s="25" t="s">
        <v>898</v>
      </c>
      <c r="C21" s="15" t="s">
        <v>899</v>
      </c>
      <c r="D21" s="15" t="s">
        <v>111</v>
      </c>
      <c r="E21" s="26" t="s">
        <v>115</v>
      </c>
      <c r="F21" s="16" t="s">
        <v>921</v>
      </c>
      <c r="G21" s="16" t="s">
        <v>119</v>
      </c>
      <c r="H21" s="9" t="s">
        <v>25</v>
      </c>
      <c r="I21" s="1"/>
    </row>
    <row r="22" spans="1:9" ht="14.5" x14ac:dyDescent="0.35">
      <c r="A22" s="6">
        <v>3</v>
      </c>
      <c r="B22" s="25" t="s">
        <v>348</v>
      </c>
      <c r="C22" s="15" t="s">
        <v>900</v>
      </c>
      <c r="D22" s="15"/>
      <c r="E22" s="26" t="s">
        <v>116</v>
      </c>
      <c r="F22" s="16" t="s">
        <v>922</v>
      </c>
      <c r="G22" s="16"/>
      <c r="H22" s="9" t="s">
        <v>26</v>
      </c>
      <c r="I22" s="1"/>
    </row>
    <row r="23" spans="1:9" ht="14.5" x14ac:dyDescent="0.35">
      <c r="A23" s="6">
        <v>4</v>
      </c>
      <c r="B23" s="25" t="s">
        <v>901</v>
      </c>
      <c r="C23" s="15" t="s">
        <v>902</v>
      </c>
      <c r="D23" s="15"/>
      <c r="E23" s="26" t="s">
        <v>920</v>
      </c>
      <c r="F23" s="16" t="s">
        <v>564</v>
      </c>
      <c r="G23" s="16"/>
      <c r="H23" s="9" t="s">
        <v>27</v>
      </c>
      <c r="I23" s="1"/>
    </row>
    <row r="24" spans="1:9" ht="14.5" x14ac:dyDescent="0.35">
      <c r="A24" s="6">
        <v>5</v>
      </c>
      <c r="B24" s="25" t="s">
        <v>420</v>
      </c>
      <c r="C24" s="15" t="s">
        <v>903</v>
      </c>
      <c r="D24" s="15"/>
      <c r="E24" s="26" t="s">
        <v>116</v>
      </c>
      <c r="F24" s="16" t="s">
        <v>923</v>
      </c>
      <c r="G24" s="16"/>
      <c r="H24" s="9" t="s">
        <v>28</v>
      </c>
      <c r="I24" s="1"/>
    </row>
    <row r="25" spans="1:9" ht="14.5" x14ac:dyDescent="0.35">
      <c r="A25" s="6">
        <v>6</v>
      </c>
      <c r="B25" s="25" t="s">
        <v>904</v>
      </c>
      <c r="C25" s="15" t="s">
        <v>905</v>
      </c>
      <c r="D25" s="15"/>
      <c r="E25" s="26" t="s">
        <v>114</v>
      </c>
      <c r="F25" s="16" t="s">
        <v>924</v>
      </c>
      <c r="G25" s="16"/>
      <c r="H25" s="9" t="s">
        <v>29</v>
      </c>
      <c r="I25" s="1"/>
    </row>
    <row r="26" spans="1:9" ht="14.5" x14ac:dyDescent="0.35">
      <c r="A26" s="6">
        <v>7</v>
      </c>
      <c r="B26" s="25" t="s">
        <v>906</v>
      </c>
      <c r="C26" s="15" t="s">
        <v>907</v>
      </c>
      <c r="D26" s="15"/>
      <c r="E26" s="26" t="s">
        <v>115</v>
      </c>
      <c r="F26" s="16" t="s">
        <v>925</v>
      </c>
      <c r="G26" s="16"/>
      <c r="H26" s="9" t="s">
        <v>30</v>
      </c>
      <c r="I26" s="1"/>
    </row>
    <row r="27" spans="1:9" ht="14.5" x14ac:dyDescent="0.35">
      <c r="A27" s="6">
        <v>8</v>
      </c>
      <c r="B27" s="25" t="s">
        <v>553</v>
      </c>
      <c r="C27" s="15" t="s">
        <v>908</v>
      </c>
      <c r="D27" s="15"/>
      <c r="E27" s="26" t="s">
        <v>116</v>
      </c>
      <c r="F27" s="16" t="s">
        <v>926</v>
      </c>
      <c r="G27" s="16"/>
      <c r="H27" s="9" t="s">
        <v>31</v>
      </c>
      <c r="I27" s="1"/>
    </row>
    <row r="28" spans="1:9" ht="14.5" x14ac:dyDescent="0.35">
      <c r="A28" s="6">
        <v>9</v>
      </c>
      <c r="B28" s="25" t="s">
        <v>909</v>
      </c>
      <c r="C28" s="15" t="s">
        <v>910</v>
      </c>
      <c r="D28" s="15"/>
      <c r="E28" s="26" t="s">
        <v>115</v>
      </c>
      <c r="F28" s="16" t="s">
        <v>927</v>
      </c>
      <c r="G28" s="16" t="s">
        <v>119</v>
      </c>
      <c r="H28" s="9" t="s">
        <v>32</v>
      </c>
      <c r="I28" s="1"/>
    </row>
    <row r="29" spans="1:9" ht="14.5" x14ac:dyDescent="0.35">
      <c r="A29" s="6">
        <v>10</v>
      </c>
      <c r="B29" s="25" t="s">
        <v>911</v>
      </c>
      <c r="C29" s="15" t="s">
        <v>912</v>
      </c>
      <c r="D29" s="15"/>
      <c r="E29" s="26" t="s">
        <v>114</v>
      </c>
      <c r="F29" s="16" t="s">
        <v>705</v>
      </c>
      <c r="G29" s="16"/>
      <c r="H29" s="9" t="s">
        <v>33</v>
      </c>
      <c r="I29" s="1"/>
    </row>
    <row r="30" spans="1:9" ht="14.5" x14ac:dyDescent="0.35">
      <c r="A30" s="6">
        <v>11</v>
      </c>
      <c r="B30" s="25" t="s">
        <v>913</v>
      </c>
      <c r="C30" s="15" t="s">
        <v>914</v>
      </c>
      <c r="D30" s="15"/>
      <c r="E30" s="26" t="s">
        <v>920</v>
      </c>
      <c r="F30" s="16" t="s">
        <v>928</v>
      </c>
      <c r="G30" s="16"/>
      <c r="H30" s="9" t="s">
        <v>34</v>
      </c>
      <c r="I30" s="1"/>
    </row>
    <row r="31" spans="1:9" ht="14.5" x14ac:dyDescent="0.35">
      <c r="A31" s="6">
        <v>12</v>
      </c>
      <c r="B31" s="25" t="s">
        <v>883</v>
      </c>
      <c r="C31" s="15" t="s">
        <v>903</v>
      </c>
      <c r="D31" s="15"/>
      <c r="E31" s="26" t="s">
        <v>920</v>
      </c>
      <c r="F31" s="16" t="s">
        <v>929</v>
      </c>
      <c r="G31" s="16"/>
      <c r="H31" s="9" t="s">
        <v>35</v>
      </c>
      <c r="I31" s="1"/>
    </row>
    <row r="32" spans="1:9" ht="14.5" x14ac:dyDescent="0.35">
      <c r="A32" s="6">
        <v>13</v>
      </c>
      <c r="B32" s="25" t="s">
        <v>915</v>
      </c>
      <c r="C32" s="15" t="s">
        <v>916</v>
      </c>
      <c r="D32" s="15" t="s">
        <v>111</v>
      </c>
      <c r="E32" s="26" t="s">
        <v>174</v>
      </c>
      <c r="F32" s="16" t="s">
        <v>930</v>
      </c>
      <c r="G32" s="16"/>
      <c r="H32" s="9" t="s">
        <v>36</v>
      </c>
      <c r="I32" s="1"/>
    </row>
    <row r="33" spans="1:9" ht="14.5" x14ac:dyDescent="0.35">
      <c r="A33" s="6">
        <v>14</v>
      </c>
      <c r="B33" s="25" t="s">
        <v>322</v>
      </c>
      <c r="C33" s="15" t="s">
        <v>917</v>
      </c>
      <c r="D33" s="15"/>
      <c r="E33" s="26" t="s">
        <v>114</v>
      </c>
      <c r="F33" s="16" t="s">
        <v>714</v>
      </c>
      <c r="G33" s="16"/>
      <c r="H33" s="9" t="s">
        <v>37</v>
      </c>
      <c r="I33" s="1"/>
    </row>
    <row r="34" spans="1:9" ht="14.5" x14ac:dyDescent="0.35">
      <c r="A34" s="6">
        <v>15</v>
      </c>
      <c r="B34" s="25" t="s">
        <v>918</v>
      </c>
      <c r="C34" s="15" t="s">
        <v>919</v>
      </c>
      <c r="D34" s="15" t="s">
        <v>111</v>
      </c>
      <c r="E34" s="26" t="s">
        <v>174</v>
      </c>
      <c r="F34" s="16" t="s">
        <v>931</v>
      </c>
      <c r="G34" s="16" t="s">
        <v>119</v>
      </c>
      <c r="H34" s="9" t="s">
        <v>38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39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40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41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42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43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44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20:E40">
    <cfRule type="expression" dxfId="5" priority="7" stopIfTrue="1">
      <formula>MOD(ROW(),2)=0</formula>
    </cfRule>
    <cfRule type="expression" dxfId="4" priority="8" stopIfTrue="1">
      <formula>MOD(ROW(),2)=1</formula>
    </cfRule>
  </conditionalFormatting>
  <conditionalFormatting sqref="C20">
    <cfRule type="expression" dxfId="3" priority="5" stopIfTrue="1">
      <formula>MOD(ROW(),2)=0</formula>
    </cfRule>
    <cfRule type="expression" dxfId="2" priority="6" stopIfTrue="1">
      <formula>MOD(ROW(),2)=1</formula>
    </cfRule>
  </conditionalFormatting>
  <conditionalFormatting sqref="F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Aldborough</vt:lpstr>
      <vt:lpstr>Barkingside</vt:lpstr>
      <vt:lpstr>Bridge</vt:lpstr>
      <vt:lpstr>Chadwell</vt:lpstr>
      <vt:lpstr>Churchfields</vt:lpstr>
      <vt:lpstr>Clayhall</vt:lpstr>
      <vt:lpstr>Clementswood</vt:lpstr>
      <vt:lpstr>Cranbrook</vt:lpstr>
      <vt:lpstr>Fairlop</vt:lpstr>
      <vt:lpstr>Fullwell</vt:lpstr>
      <vt:lpstr>Goodmayes</vt:lpstr>
      <vt:lpstr>Hainault</vt:lpstr>
      <vt:lpstr>Ilford Town</vt:lpstr>
      <vt:lpstr>Loxford</vt:lpstr>
      <vt:lpstr>Mayfield</vt:lpstr>
      <vt:lpstr>Monkhams</vt:lpstr>
      <vt:lpstr>Newbury</vt:lpstr>
      <vt:lpstr>Seven Kings</vt:lpstr>
      <vt:lpstr>South Woodford</vt:lpstr>
      <vt:lpstr>Valentines</vt:lpstr>
      <vt:lpstr>Wanstead Park</vt:lpstr>
      <vt:lpstr>Wanstead Vi...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>Clare Oakley</cp:lastModifiedBy>
  <cp:revision/>
  <dcterms:created xsi:type="dcterms:W3CDTF">2010-04-26T09:06:52Z</dcterms:created>
  <dcterms:modified xsi:type="dcterms:W3CDTF">2026-06-17T08:17:29Z</dcterms:modified>
  <cp:category/>
  <cp:contentStatus/>
</cp:coreProperties>
</file>